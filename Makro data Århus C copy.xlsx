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Dash board/data/"/>
    </mc:Choice>
  </mc:AlternateContent>
  <xr:revisionPtr revIDLastSave="0" documentId="13_ncr:1_{FCC20D50-21EE-5B40-A554-2315F89E36DE}" xr6:coauthVersionLast="47" xr6:coauthVersionMax="47" xr10:uidLastSave="{00000000-0000-0000-0000-000000000000}"/>
  <bookViews>
    <workbookView xWindow="900" yWindow="500" windowWidth="24840" windowHeight="15860" activeTab="1" xr2:uid="{00000000-000D-0000-FFFF-FFFF00000000}"/>
  </bookViews>
  <sheets>
    <sheet name="BM011" sheetId="2" r:id="rId1"/>
    <sheet name="Ark1" sheetId="3" r:id="rId2"/>
    <sheet name="BM011 (2)" sheetId="4" r:id="rId3"/>
    <sheet name="Ark4" sheetId="6" r:id="rId4"/>
    <sheet name="Udvikling i antal indbyggere i " sheetId="5" r:id="rId5"/>
    <sheet name="Board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2" i="6" l="1"/>
  <c r="F123" i="6"/>
  <c r="F122" i="6"/>
  <c r="B123" i="4"/>
  <c r="B122" i="6"/>
  <c r="C123" i="4"/>
  <c r="D122" i="6"/>
  <c r="C122" i="6"/>
  <c r="E121" i="6"/>
  <c r="E3" i="6"/>
  <c r="C121" i="6"/>
  <c r="D121" i="6"/>
  <c r="F121" i="6"/>
  <c r="B121" i="6"/>
  <c r="E40" i="5"/>
  <c r="D40" i="5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D41" i="5"/>
  <c r="D124" i="4"/>
  <c r="C124" i="4"/>
  <c r="B124" i="4"/>
  <c r="D123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Mikkel Damgaard Jensen</author>
  </authors>
  <commentList>
    <comment ref="B1" authorId="0" shapeId="0" xr:uid="{0C1C0468-D1BC-E74A-8BEC-79995149C6BE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Ejendomspriser på boligmarkedet efter priser på realiserede handler, ejendomskategori, postnumre og tid
</t>
        </r>
      </text>
    </comment>
    <comment ref="C1" authorId="0" shapeId="0" xr:uid="{0E429638-8D88-5849-A004-C12EEC9AFE54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B.1*g Bruttonationalprodukt, BNP (Løbende priser og ikke sæsonkorrigerede)</t>
        </r>
      </text>
    </comment>
    <comment ref="D1" authorId="0" shapeId="0" xr:uid="{A5136CE5-637D-4547-8EBD-6AB1F5C82578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Bevægelser på boligmarkedet efter bevægelsestype, ejendomskategori, postnumre og tid</t>
        </r>
      </text>
    </comment>
    <comment ref="E1" authorId="0" shapeId="0" xr:uid="{1968E2C6-771A-9345-BE8A-870EC0A20E5F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Gennemsnit af antal udbudte boliger i kvartal i Aarhus
</t>
        </r>
      </text>
    </comment>
    <comment ref="F1" authorId="0" shapeId="0" xr:uid="{DF2D4CD8-BC7C-4649-AA25-8A164C9224D6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Liggetider (dage) i gennemsnit pr. kvartal i Aarhus</t>
        </r>
      </text>
    </comment>
    <comment ref="G1" authorId="0" shapeId="0" xr:uid="{18906334-50B8-7745-976E-99394C6FFADD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I forbindelse med lånomlægninger periodiseres nyudlån i øjeblikket forskelligt på tværs af realkreditinstitutter. Observationer før 201310 er baseret på indberettede data, hvor metoden i et vist omfang afviger fra det nuværende datagrundlag. Disse data offentliggøres derfor kun på udvalgte grupperinger og er ikke så detaljerede som data efter 201309.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https://nationalbanken.statistikbank.dk/nbf/176188?fbclid=IwAR0dYEovM5cqYeR-MK_dCuA7xcM7qDL9-CEB8ijbnFf0NfgLKfxnNh1t6cg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H1" authorId="0" shapeId="0" xr:uid="{DBA58A3E-FD93-DE40-9530-F4F9C78D2FD2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Forbrugerprisindeks, hovedtal (2015=100) efter tid</t>
        </r>
      </text>
    </comment>
    <comment ref="I1" authorId="0" shapeId="0" xr:uid="{FF17C8EE-70CC-B641-9303-0016929B0FDB}">
      <text>
        <r>
          <rPr>
            <b/>
            <sz val="10"/>
            <color rgb="FF000000"/>
            <rFont val="Tahoma"/>
            <family val="2"/>
          </rPr>
          <t>Mikkel Damgaard Jensen: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Fuldtidsledige (sæsonkorrigeret) efter sæsonkorrigering og faktiske tal, ydelse, køn og alder og tid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OOXML Generator</author>
  </authors>
  <commentList>
    <comment ref="A1" authorId="0" shapeId="0" xr:uid="{00000000-0006-0000-0000-000001000000}">
      <text>
        <r>
          <rPr>
            <sz val="9"/>
            <color rgb="FF000000"/>
            <rFont val="Arial"/>
            <family val="2"/>
          </rPr>
          <t>Linjediagram viser:
 Antal indbyggere
Trigger:
En trigger er påført dette objekt. Klik på objektet for at udføre triggeren. For at lave et drill i objektet holdes Ctrl nede, mens der udvælges medlemmer.</t>
        </r>
      </text>
    </comment>
  </commentList>
</comments>
</file>

<file path=xl/sharedStrings.xml><?xml version="1.0" encoding="utf-8"?>
<sst xmlns="http://schemas.openxmlformats.org/spreadsheetml/2006/main" count="368" uniqueCount="153">
  <si>
    <t>Enhed: kr. pr. m2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</si>
  <si>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</si>
  <si>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</si>
  <si>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</si>
  <si>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</si>
  <si>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</si>
  <si>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</si>
  <si>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</si>
  <si>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</si>
  <si>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</si>
  <si>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</si>
  <si>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</si>
  <si>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</si>
  <si>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</si>
  <si>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</si>
  <si>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</si>
  <si>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</si>
  <si>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</si>
  <si>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</si>
  <si>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</si>
  <si>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</si>
  <si>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</si>
  <si>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</si>
  <si>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</si>
  <si>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</si>
  <si>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</si>
  <si>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</si>
  <si>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</si>
  <si>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</si>
  <si>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</si>
  <si>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</si>
  <si>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</si>
  <si>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</si>
  <si>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</si>
  <si>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</si>
  <si>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</si>
  <si>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</si>
  <si>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</si>
  <si>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</si>
  <si>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</si>
  <si>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</si>
  <si>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</si>
  <si>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</si>
  <si>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</si>
  <si>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</si>
  <si>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</si>
  <si>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</si>
  <si>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</si>
  <si>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</si>
  <si>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</si>
  <si>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</si>
  <si>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</si>
  <si>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BNP</t>
  </si>
  <si>
    <t>2020K4</t>
  </si>
  <si>
    <t xml:space="preserve">Antal solgte boliger </t>
  </si>
  <si>
    <t>Udbudte boliger</t>
  </si>
  <si>
    <t>Liggetider (dage)</t>
  </si>
  <si>
    <t>Rente</t>
  </si>
  <si>
    <t>Inflation</t>
  </si>
  <si>
    <t>Fuldtidsledige %</t>
  </si>
  <si>
    <t>8000 Århus C</t>
  </si>
  <si>
    <t>2004K2</t>
  </si>
  <si>
    <t>2004K3</t>
  </si>
  <si>
    <t>2004K4</t>
  </si>
  <si>
    <t>2005K2</t>
  </si>
  <si>
    <t>2005K3</t>
  </si>
  <si>
    <t>2005K4</t>
  </si>
  <si>
    <t>2006K2</t>
  </si>
  <si>
    <t>2006K3</t>
  </si>
  <si>
    <t>2006K4</t>
  </si>
  <si>
    <t>2007K2</t>
  </si>
  <si>
    <t>2007K3</t>
  </si>
  <si>
    <t>2007K4</t>
  </si>
  <si>
    <t>Danmark (antal solgte ejerlejligheder)</t>
  </si>
  <si>
    <t>Danmark (antal ejerlejligheder til salg -  ultimo)</t>
  </si>
  <si>
    <t>Forskellen mellem boliger til salg og solgte</t>
  </si>
  <si>
    <t>Ejendomspriser på boligmarkedet efter priser på realiserede handler, ejendomskategori, postnumre og tid</t>
  </si>
  <si>
    <t>Realiseret handelspris</t>
  </si>
  <si>
    <t>Ejerlejlighed</t>
  </si>
  <si>
    <t>Parcel-/rækkehus (Danmark)</t>
  </si>
  <si>
    <t>Ejerlejlighed (Danmark)</t>
  </si>
  <si>
    <t>Condominiums (Aarhus)</t>
  </si>
  <si>
    <t>Family houses (Denmark)</t>
  </si>
  <si>
    <t>Condominiums (Denmark)</t>
  </si>
  <si>
    <t>1992K2</t>
  </si>
  <si>
    <t>1992K3</t>
  </si>
  <si>
    <t>1992K4</t>
  </si>
  <si>
    <t>1993K2</t>
  </si>
  <si>
    <t>1993K3</t>
  </si>
  <si>
    <t>1993K4</t>
  </si>
  <si>
    <t>1994K2</t>
  </si>
  <si>
    <t>1994K3</t>
  </si>
  <si>
    <t>1994K4</t>
  </si>
  <si>
    <t>1995K2</t>
  </si>
  <si>
    <t>1995K3</t>
  </si>
  <si>
    <t>1995K4</t>
  </si>
  <si>
    <t>1996K2</t>
  </si>
  <si>
    <t>1996K3</t>
  </si>
  <si>
    <t>1996K4</t>
  </si>
  <si>
    <t>1997K2</t>
  </si>
  <si>
    <t>1997K3</t>
  </si>
  <si>
    <t>1997K4</t>
  </si>
  <si>
    <t>1998K2</t>
  </si>
  <si>
    <t>1998K3</t>
  </si>
  <si>
    <t>1998K4</t>
  </si>
  <si>
    <t>1999K2</t>
  </si>
  <si>
    <t>1999K3</t>
  </si>
  <si>
    <t>1999K4</t>
  </si>
  <si>
    <t>2000K2</t>
  </si>
  <si>
    <t>2000K3</t>
  </si>
  <si>
    <t>2000K4</t>
  </si>
  <si>
    <t>2001K2</t>
  </si>
  <si>
    <t>2001K3</t>
  </si>
  <si>
    <t>2001K4</t>
  </si>
  <si>
    <t>2002K2</t>
  </si>
  <si>
    <t>2002K3</t>
  </si>
  <si>
    <t>2002K4</t>
  </si>
  <si>
    <t>2003K2</t>
  </si>
  <si>
    <t>2003K3</t>
  </si>
  <si>
    <t>2003K4</t>
  </si>
  <si>
    <t>1992 - 2020K3</t>
  </si>
  <si>
    <t>2018 - 2020K3</t>
  </si>
  <si>
    <t>1. kvartal</t>
  </si>
  <si>
    <t>2021</t>
  </si>
  <si>
    <t>4. kvartal</t>
  </si>
  <si>
    <t>3. kvartal</t>
  </si>
  <si>
    <t>2. kvartal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</si>
  <si>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</si>
  <si>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</si>
  <si>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</si>
  <si>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</si>
  <si>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</si>
  <si>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</si>
  <si>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</si>
  <si>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</si>
  <si>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</si>
  <si>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Antal indbyggere</t>
  </si>
  <si>
    <t>Kvartal</t>
  </si>
  <si>
    <t>År</t>
  </si>
  <si>
    <t>https://ledelsesinformation.aarhuskommune.dk/aarhus-i-tal/default.aspx?doc=vfs://Global/AARHUS-I-TAL/Befolkning-Antal.xview</t>
  </si>
  <si>
    <t>2012 - 2021K1</t>
  </si>
  <si>
    <t>2018 - 2021K1</t>
  </si>
  <si>
    <t>LAV OM TIL AVERAGE AF LEJLIGHEDER, HUSE OG FRITIDSHUSE og PRISER PÅ LEJLIGHEDER ÅRHUS (Højre akse med priser og venstre akse med procent)</t>
  </si>
  <si>
    <t>Danmark</t>
  </si>
  <si>
    <t>Condominium (Aarhus)</t>
  </si>
  <si>
    <t>Detached/terraced house</t>
  </si>
  <si>
    <t xml:space="preserve">Condominium </t>
  </si>
  <si>
    <t xml:space="preserve">Holiday home </t>
  </si>
  <si>
    <t>Aggregate average</t>
  </si>
  <si>
    <t xml:space="preserve">Number of condominiums sold </t>
  </si>
  <si>
    <t>Number of condominiums for sale (ultimo)</t>
  </si>
  <si>
    <t>Sum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</si>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</sst>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#,##0;\-##,##0"/>
  </numFmts>
  <fonts count="1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Arial"/>
      <family val="2"/>
    </font>
    <font>
      <sz val="11"/>
      <color rgb="FFF93418"/>
      <name val="Arial"/>
      <family val="2"/>
    </font>
    <font>
      <sz val="11"/>
      <color rgb="FF33CA7C"/>
      <name val="Arial"/>
      <family val="2"/>
    </font>
    <font>
      <sz val="8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333333"/>
      <name val="Segoe UI"/>
    </font>
    <font>
      <b/>
      <sz val="10"/>
      <color rgb="FF333333"/>
      <name val="Segoe UI"/>
    </font>
    <font>
      <sz val="9"/>
      <color rgb="FF000000"/>
      <name val="Arial"/>
      <family val="2"/>
    </font>
    <font>
      <sz val="16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F6F6F6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3">
    <xf numFmtId="0" fontId="0" fillId="0" borderId="0" applyNumberFormat="0" applyBorder="0" applyAlignment="0"/>
    <xf numFmtId="9" fontId="9" fillId="0" borderId="0" applyFont="0" applyFill="0" applyBorder="0" applyAlignment="0" applyProtection="0"/>
    <xf numFmtId="0" fontId="4" fillId="0" borderId="0"/>
  </cellStyleXfs>
  <cellXfs count="35">
    <xf numFmtId="0" fontId="0" fillId="0" borderId="0" xfId="0" applyFill="1" applyProtection="1"/>
    <xf numFmtId="0" fontId="1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4" fillId="0" borderId="0" xfId="0" applyFont="1" applyFill="1" applyProtection="1"/>
    <xf numFmtId="0" fontId="5" fillId="0" borderId="0" xfId="0" applyFont="1" applyFill="1" applyProtection="1"/>
    <xf numFmtId="0" fontId="6" fillId="0" borderId="0" xfId="0" applyFont="1" applyFill="1" applyProtection="1"/>
    <xf numFmtId="0" fontId="1" fillId="0" borderId="0" xfId="0" applyFont="1" applyFill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2" fontId="0" fillId="0" borderId="0" xfId="0" applyNumberFormat="1"/>
    <xf numFmtId="164" fontId="0" fillId="0" borderId="0" xfId="0" applyNumberFormat="1"/>
    <xf numFmtId="2" fontId="0" fillId="0" borderId="0" xfId="0" applyNumberFormat="1" applyFill="1" applyProtection="1"/>
    <xf numFmtId="0" fontId="10" fillId="0" borderId="0" xfId="0" applyFont="1" applyFill="1" applyProtection="1"/>
    <xf numFmtId="0" fontId="10" fillId="0" borderId="0" xfId="0" applyFont="1" applyAlignment="1">
      <alignment horizontal="right"/>
    </xf>
    <xf numFmtId="0" fontId="1" fillId="0" borderId="0" xfId="0" applyFont="1" applyFill="1" applyProtection="1"/>
    <xf numFmtId="9" fontId="0" fillId="0" borderId="0" xfId="1" applyFont="1" applyFill="1" applyProtection="1"/>
    <xf numFmtId="0" fontId="11" fillId="0" borderId="0" xfId="0" applyFont="1"/>
    <xf numFmtId="0" fontId="12" fillId="0" borderId="0" xfId="0" applyFont="1"/>
    <xf numFmtId="0" fontId="1" fillId="0" borderId="0" xfId="0" applyFont="1"/>
    <xf numFmtId="165" fontId="0" fillId="0" borderId="0" xfId="1" applyNumberFormat="1" applyFont="1" applyFill="1" applyProtection="1"/>
    <xf numFmtId="0" fontId="4" fillId="0" borderId="0" xfId="2"/>
    <xf numFmtId="166" fontId="13" fillId="0" borderId="0" xfId="2" applyNumberFormat="1" applyFont="1" applyAlignment="1">
      <alignment vertical="top"/>
    </xf>
    <xf numFmtId="0" fontId="13" fillId="0" borderId="0" xfId="2" applyFont="1" applyAlignment="1">
      <alignment horizontal="left" vertical="top"/>
    </xf>
    <xf numFmtId="166" fontId="13" fillId="2" borderId="0" xfId="2" applyNumberFormat="1" applyFont="1" applyFill="1" applyAlignment="1">
      <alignment vertical="top"/>
    </xf>
    <xf numFmtId="0" fontId="13" fillId="3" borderId="0" xfId="2" applyFont="1" applyFill="1" applyAlignment="1">
      <alignment horizontal="left" vertical="top"/>
    </xf>
    <xf numFmtId="0" fontId="14" fillId="0" borderId="1" xfId="2" applyFont="1" applyBorder="1" applyAlignment="1">
      <alignment horizontal="right" vertical="top"/>
    </xf>
    <xf numFmtId="0" fontId="14" fillId="0" borderId="1" xfId="2" applyFont="1" applyBorder="1" applyAlignment="1">
      <alignment horizontal="left" vertical="top"/>
    </xf>
    <xf numFmtId="165" fontId="4" fillId="0" borderId="0" xfId="1" applyNumberFormat="1" applyFont="1"/>
    <xf numFmtId="0" fontId="16" fillId="0" borderId="0" xfId="0" applyFont="1"/>
    <xf numFmtId="0" fontId="0" fillId="4" borderId="0" xfId="0" applyFill="1" applyProtection="1"/>
    <xf numFmtId="0" fontId="1" fillId="5" borderId="0" xfId="0" applyFont="1" applyFill="1" applyAlignment="1">
      <alignment horizontal="left"/>
    </xf>
    <xf numFmtId="166" fontId="4" fillId="0" borderId="0" xfId="2" applyNumberFormat="1"/>
    <xf numFmtId="0" fontId="1" fillId="4" borderId="0" xfId="0" applyFont="1" applyFill="1" applyAlignment="1" applyProtection="1">
      <alignment horizontal="center"/>
    </xf>
  </cellXfs>
  <cellStyles count="3">
    <cellStyle name="Normal" xfId="0" builtinId="0"/>
    <cellStyle name="Normal 2" xfId="2" xr:uid="{5D86B878-FA46-B140-9C3D-E0D6D53527EF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'BM011'!$B$1</c:f>
              <c:strCache>
                <c:ptCount val="1"/>
                <c:pt idx="0">
                  <c:v>Enhed: kr. pr. m2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'BM011'!$A$2:$A$52</c:f>
              <c:strCache>
                <c:ptCount val="51"/>
                <c:pt idx="0">
                  <c:v>2008K1</c:v>
                </c:pt>
                <c:pt idx="1">
                  <c:v>2008K2</c:v>
                </c:pt>
                <c:pt idx="2">
                  <c:v>2008K3</c:v>
                </c:pt>
                <c:pt idx="3">
                  <c:v>2008K4</c:v>
                </c:pt>
                <c:pt idx="4">
                  <c:v>2009K1</c:v>
                </c:pt>
                <c:pt idx="5">
                  <c:v>2009K2</c:v>
                </c:pt>
                <c:pt idx="6">
                  <c:v>2009K3</c:v>
                </c:pt>
                <c:pt idx="7">
                  <c:v>2009K4</c:v>
                </c:pt>
                <c:pt idx="8">
                  <c:v>2010K1</c:v>
                </c:pt>
                <c:pt idx="9">
                  <c:v>2010K2</c:v>
                </c:pt>
                <c:pt idx="10">
                  <c:v>2010K3</c:v>
                </c:pt>
                <c:pt idx="11">
                  <c:v>2010K4</c:v>
                </c:pt>
                <c:pt idx="12">
                  <c:v>2011K1</c:v>
                </c:pt>
                <c:pt idx="13">
                  <c:v>2011K2</c:v>
                </c:pt>
                <c:pt idx="14">
                  <c:v>2011K3</c:v>
                </c:pt>
                <c:pt idx="15">
                  <c:v>2011K4</c:v>
                </c:pt>
                <c:pt idx="16">
                  <c:v>2012K1</c:v>
                </c:pt>
                <c:pt idx="17">
                  <c:v>2012K2</c:v>
                </c:pt>
                <c:pt idx="18">
                  <c:v>2012K3</c:v>
                </c:pt>
                <c:pt idx="19">
                  <c:v>2012K4</c:v>
                </c:pt>
                <c:pt idx="20">
                  <c:v>2013K1</c:v>
                </c:pt>
                <c:pt idx="21">
                  <c:v>2013K2</c:v>
                </c:pt>
                <c:pt idx="22">
                  <c:v>2013K3</c:v>
                </c:pt>
                <c:pt idx="23">
                  <c:v>2013K4</c:v>
                </c:pt>
                <c:pt idx="24">
                  <c:v>2014K1</c:v>
                </c:pt>
                <c:pt idx="25">
                  <c:v>2014K2</c:v>
                </c:pt>
                <c:pt idx="26">
                  <c:v>2014K3</c:v>
                </c:pt>
                <c:pt idx="27">
                  <c:v>2014K4</c:v>
                </c:pt>
                <c:pt idx="28">
                  <c:v>2015K1</c:v>
                </c:pt>
                <c:pt idx="29">
                  <c:v>2015K2</c:v>
                </c:pt>
                <c:pt idx="30">
                  <c:v>2015K3</c:v>
                </c:pt>
                <c:pt idx="31">
                  <c:v>2015K4</c:v>
                </c:pt>
                <c:pt idx="32">
                  <c:v>2016K1</c:v>
                </c:pt>
                <c:pt idx="33">
                  <c:v>2016K2</c:v>
                </c:pt>
                <c:pt idx="34">
                  <c:v>2016K3</c:v>
                </c:pt>
                <c:pt idx="35">
                  <c:v>2016K4</c:v>
                </c:pt>
                <c:pt idx="36">
                  <c:v>2017K1</c:v>
                </c:pt>
                <c:pt idx="37">
                  <c:v>2017K2</c:v>
                </c:pt>
                <c:pt idx="38">
                  <c:v>2017K3</c:v>
                </c:pt>
                <c:pt idx="39">
                  <c:v>2017K4</c:v>
                </c:pt>
                <c:pt idx="40">
                  <c:v>2018K1</c:v>
                </c:pt>
                <c:pt idx="41">
                  <c:v>2018K2</c:v>
                </c:pt>
                <c:pt idx="42">
                  <c:v>2018K3</c:v>
                </c:pt>
                <c:pt idx="43">
                  <c:v>2018K4</c:v>
                </c:pt>
                <c:pt idx="44">
                  <c:v>2019K1</c:v>
                </c:pt>
                <c:pt idx="45">
                  <c:v>2019K2</c:v>
                </c:pt>
                <c:pt idx="46">
                  <c:v>2019K3</c:v>
                </c:pt>
                <c:pt idx="47">
                  <c:v>2019K4</c:v>
                </c:pt>
                <c:pt idx="48">
                  <c:v>2020K1</c:v>
                </c:pt>
                <c:pt idx="49">
                  <c:v>2020K2</c:v>
                </c:pt>
                <c:pt idx="50">
                  <c:v>2020K3</c:v>
                </c:pt>
              </c:strCache>
            </c:strRef>
          </c:cat>
          <c:val>
            <c:numRef>
              <c:f>'BM011'!$B$2:$B$52</c:f>
            </c:numRef>
          </c:val>
          <c:smooth val="0"/>
          <c:extLst>
            <c:ext xmlns:c16="http://schemas.microsoft.com/office/drawing/2014/chart" uri="{C3380CC4-5D6E-409C-BE32-E72D297353CC}">
              <c16:uniqueId val="{00000000-E355-3D41-A172-00AF69532F8F}"/>
            </c:ext>
          </c:extLst>
        </c:ser>
        <c:ser>
          <c:idx val="1"/>
          <c:order val="1"/>
          <c:tx>
            <c:strRef>
              <c:f>'BM011'!$C$1</c:f>
              <c:strCache>
                <c:ptCount val="1"/>
                <c:pt idx="0">
                  <c:v>BNP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'BM011'!$A$2:$A$52</c:f>
              <c:strCache>
                <c:ptCount val="51"/>
                <c:pt idx="0">
                  <c:v>2008K1</c:v>
                </c:pt>
                <c:pt idx="1">
                  <c:v>2008K2</c:v>
                </c:pt>
                <c:pt idx="2">
                  <c:v>2008K3</c:v>
                </c:pt>
                <c:pt idx="3">
                  <c:v>2008K4</c:v>
                </c:pt>
                <c:pt idx="4">
                  <c:v>2009K1</c:v>
                </c:pt>
                <c:pt idx="5">
                  <c:v>2009K2</c:v>
                </c:pt>
                <c:pt idx="6">
                  <c:v>2009K3</c:v>
                </c:pt>
                <c:pt idx="7">
                  <c:v>2009K4</c:v>
                </c:pt>
                <c:pt idx="8">
                  <c:v>2010K1</c:v>
                </c:pt>
                <c:pt idx="9">
                  <c:v>2010K2</c:v>
                </c:pt>
                <c:pt idx="10">
                  <c:v>2010K3</c:v>
                </c:pt>
                <c:pt idx="11">
                  <c:v>2010K4</c:v>
                </c:pt>
                <c:pt idx="12">
                  <c:v>2011K1</c:v>
                </c:pt>
                <c:pt idx="13">
                  <c:v>2011K2</c:v>
                </c:pt>
                <c:pt idx="14">
                  <c:v>2011K3</c:v>
                </c:pt>
                <c:pt idx="15">
                  <c:v>2011K4</c:v>
                </c:pt>
                <c:pt idx="16">
                  <c:v>2012K1</c:v>
                </c:pt>
                <c:pt idx="17">
                  <c:v>2012K2</c:v>
                </c:pt>
                <c:pt idx="18">
                  <c:v>2012K3</c:v>
                </c:pt>
                <c:pt idx="19">
                  <c:v>2012K4</c:v>
                </c:pt>
                <c:pt idx="20">
                  <c:v>2013K1</c:v>
                </c:pt>
                <c:pt idx="21">
                  <c:v>2013K2</c:v>
                </c:pt>
                <c:pt idx="22">
                  <c:v>2013K3</c:v>
                </c:pt>
                <c:pt idx="23">
                  <c:v>2013K4</c:v>
                </c:pt>
                <c:pt idx="24">
                  <c:v>2014K1</c:v>
                </c:pt>
                <c:pt idx="25">
                  <c:v>2014K2</c:v>
                </c:pt>
                <c:pt idx="26">
                  <c:v>2014K3</c:v>
                </c:pt>
                <c:pt idx="27">
                  <c:v>2014K4</c:v>
                </c:pt>
                <c:pt idx="28">
                  <c:v>2015K1</c:v>
                </c:pt>
                <c:pt idx="29">
                  <c:v>2015K2</c:v>
                </c:pt>
                <c:pt idx="30">
                  <c:v>2015K3</c:v>
                </c:pt>
                <c:pt idx="31">
                  <c:v>2015K4</c:v>
                </c:pt>
                <c:pt idx="32">
                  <c:v>2016K1</c:v>
                </c:pt>
                <c:pt idx="33">
                  <c:v>2016K2</c:v>
                </c:pt>
                <c:pt idx="34">
                  <c:v>2016K3</c:v>
                </c:pt>
                <c:pt idx="35">
                  <c:v>2016K4</c:v>
                </c:pt>
                <c:pt idx="36">
                  <c:v>2017K1</c:v>
                </c:pt>
                <c:pt idx="37">
                  <c:v>2017K2</c:v>
                </c:pt>
                <c:pt idx="38">
                  <c:v>2017K3</c:v>
                </c:pt>
                <c:pt idx="39">
                  <c:v>2017K4</c:v>
                </c:pt>
                <c:pt idx="40">
                  <c:v>2018K1</c:v>
                </c:pt>
                <c:pt idx="41">
                  <c:v>2018K2</c:v>
                </c:pt>
                <c:pt idx="42">
                  <c:v>2018K3</c:v>
                </c:pt>
                <c:pt idx="43">
                  <c:v>2018K4</c:v>
                </c:pt>
                <c:pt idx="44">
                  <c:v>2019K1</c:v>
                </c:pt>
                <c:pt idx="45">
                  <c:v>2019K2</c:v>
                </c:pt>
                <c:pt idx="46">
                  <c:v>2019K3</c:v>
                </c:pt>
                <c:pt idx="47">
                  <c:v>2019K4</c:v>
                </c:pt>
                <c:pt idx="48">
                  <c:v>2020K1</c:v>
                </c:pt>
                <c:pt idx="49">
                  <c:v>2020K2</c:v>
                </c:pt>
                <c:pt idx="50">
                  <c:v>2020K3</c:v>
                </c:pt>
              </c:strCache>
            </c:strRef>
          </c:cat>
          <c:val>
            <c:numRef>
              <c:f>'BM011'!$C$2:$C$52</c:f>
            </c:numRef>
          </c:val>
          <c:smooth val="0"/>
          <c:extLst>
            <c:ext xmlns:c16="http://schemas.microsoft.com/office/drawing/2014/chart" uri="{C3380CC4-5D6E-409C-BE32-E72D297353CC}">
              <c16:uniqueId val="{00000001-E355-3D41-A172-00AF69532F8F}"/>
            </c:ext>
          </c:extLst>
        </c:ser>
        <c:ser>
          <c:idx val="2"/>
          <c:order val="2"/>
          <c:tx>
            <c:strRef>
              <c:f>'BM011'!$D$1</c:f>
              <c:strCache>
                <c:ptCount val="1"/>
                <c:pt idx="0">
                  <c:v>Antal solgte boliger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'BM011'!$A$2:$A$52</c:f>
              <c:strCache>
                <c:ptCount val="51"/>
                <c:pt idx="0">
                  <c:v>2008K1</c:v>
                </c:pt>
                <c:pt idx="1">
                  <c:v>2008K2</c:v>
                </c:pt>
                <c:pt idx="2">
                  <c:v>2008K3</c:v>
                </c:pt>
                <c:pt idx="3">
                  <c:v>2008K4</c:v>
                </c:pt>
                <c:pt idx="4">
                  <c:v>2009K1</c:v>
                </c:pt>
                <c:pt idx="5">
                  <c:v>2009K2</c:v>
                </c:pt>
                <c:pt idx="6">
                  <c:v>2009K3</c:v>
                </c:pt>
                <c:pt idx="7">
                  <c:v>2009K4</c:v>
                </c:pt>
                <c:pt idx="8">
                  <c:v>2010K1</c:v>
                </c:pt>
                <c:pt idx="9">
                  <c:v>2010K2</c:v>
                </c:pt>
                <c:pt idx="10">
                  <c:v>2010K3</c:v>
                </c:pt>
                <c:pt idx="11">
                  <c:v>2010K4</c:v>
                </c:pt>
                <c:pt idx="12">
                  <c:v>2011K1</c:v>
                </c:pt>
                <c:pt idx="13">
                  <c:v>2011K2</c:v>
                </c:pt>
                <c:pt idx="14">
                  <c:v>2011K3</c:v>
                </c:pt>
                <c:pt idx="15">
                  <c:v>2011K4</c:v>
                </c:pt>
                <c:pt idx="16">
                  <c:v>2012K1</c:v>
                </c:pt>
                <c:pt idx="17">
                  <c:v>2012K2</c:v>
                </c:pt>
                <c:pt idx="18">
                  <c:v>2012K3</c:v>
                </c:pt>
                <c:pt idx="19">
                  <c:v>2012K4</c:v>
                </c:pt>
                <c:pt idx="20">
                  <c:v>2013K1</c:v>
                </c:pt>
                <c:pt idx="21">
                  <c:v>2013K2</c:v>
                </c:pt>
                <c:pt idx="22">
                  <c:v>2013K3</c:v>
                </c:pt>
                <c:pt idx="23">
                  <c:v>2013K4</c:v>
                </c:pt>
                <c:pt idx="24">
                  <c:v>2014K1</c:v>
                </c:pt>
                <c:pt idx="25">
                  <c:v>2014K2</c:v>
                </c:pt>
                <c:pt idx="26">
                  <c:v>2014K3</c:v>
                </c:pt>
                <c:pt idx="27">
                  <c:v>2014K4</c:v>
                </c:pt>
                <c:pt idx="28">
                  <c:v>2015K1</c:v>
                </c:pt>
                <c:pt idx="29">
                  <c:v>2015K2</c:v>
                </c:pt>
                <c:pt idx="30">
                  <c:v>2015K3</c:v>
                </c:pt>
                <c:pt idx="31">
                  <c:v>2015K4</c:v>
                </c:pt>
                <c:pt idx="32">
                  <c:v>2016K1</c:v>
                </c:pt>
                <c:pt idx="33">
                  <c:v>2016K2</c:v>
                </c:pt>
                <c:pt idx="34">
                  <c:v>2016K3</c:v>
                </c:pt>
                <c:pt idx="35">
                  <c:v>2016K4</c:v>
                </c:pt>
                <c:pt idx="36">
                  <c:v>2017K1</c:v>
                </c:pt>
                <c:pt idx="37">
                  <c:v>2017K2</c:v>
                </c:pt>
                <c:pt idx="38">
                  <c:v>2017K3</c:v>
                </c:pt>
                <c:pt idx="39">
                  <c:v>2017K4</c:v>
                </c:pt>
                <c:pt idx="40">
                  <c:v>2018K1</c:v>
                </c:pt>
                <c:pt idx="41">
                  <c:v>2018K2</c:v>
                </c:pt>
                <c:pt idx="42">
                  <c:v>2018K3</c:v>
                </c:pt>
                <c:pt idx="43">
                  <c:v>2018K4</c:v>
                </c:pt>
                <c:pt idx="44">
                  <c:v>2019K1</c:v>
                </c:pt>
                <c:pt idx="45">
                  <c:v>2019K2</c:v>
                </c:pt>
                <c:pt idx="46">
                  <c:v>2019K3</c:v>
                </c:pt>
                <c:pt idx="47">
                  <c:v>2019K4</c:v>
                </c:pt>
                <c:pt idx="48">
                  <c:v>2020K1</c:v>
                </c:pt>
                <c:pt idx="49">
                  <c:v>2020K2</c:v>
                </c:pt>
                <c:pt idx="50">
                  <c:v>2020K3</c:v>
                </c:pt>
              </c:strCache>
            </c:strRef>
          </c:cat>
          <c:val>
            <c:numRef>
              <c:f>'BM011'!$D$2:$D$52</c:f>
              <c:numCache>
                <c:formatCode>General</c:formatCode>
                <c:ptCount val="51"/>
                <c:pt idx="0">
                  <c:v>167</c:v>
                </c:pt>
                <c:pt idx="1">
                  <c:v>162</c:v>
                </c:pt>
                <c:pt idx="2">
                  <c:v>126</c:v>
                </c:pt>
                <c:pt idx="3">
                  <c:v>69</c:v>
                </c:pt>
                <c:pt idx="4">
                  <c:v>79</c:v>
                </c:pt>
                <c:pt idx="5">
                  <c:v>172</c:v>
                </c:pt>
                <c:pt idx="6">
                  <c:v>153</c:v>
                </c:pt>
                <c:pt idx="7">
                  <c:v>135</c:v>
                </c:pt>
                <c:pt idx="8">
                  <c:v>143</c:v>
                </c:pt>
                <c:pt idx="9">
                  <c:v>185</c:v>
                </c:pt>
                <c:pt idx="10">
                  <c:v>183</c:v>
                </c:pt>
                <c:pt idx="11">
                  <c:v>148</c:v>
                </c:pt>
                <c:pt idx="12">
                  <c:v>142</c:v>
                </c:pt>
                <c:pt idx="13">
                  <c:v>107</c:v>
                </c:pt>
                <c:pt idx="14">
                  <c:v>137</c:v>
                </c:pt>
                <c:pt idx="15">
                  <c:v>123</c:v>
                </c:pt>
                <c:pt idx="16">
                  <c:v>113</c:v>
                </c:pt>
                <c:pt idx="17">
                  <c:v>142</c:v>
                </c:pt>
                <c:pt idx="18">
                  <c:v>163</c:v>
                </c:pt>
                <c:pt idx="19">
                  <c:v>134</c:v>
                </c:pt>
                <c:pt idx="20">
                  <c:v>129</c:v>
                </c:pt>
                <c:pt idx="21">
                  <c:v>145</c:v>
                </c:pt>
                <c:pt idx="22">
                  <c:v>155</c:v>
                </c:pt>
                <c:pt idx="23">
                  <c:v>112</c:v>
                </c:pt>
                <c:pt idx="24">
                  <c:v>143</c:v>
                </c:pt>
                <c:pt idx="25">
                  <c:v>166</c:v>
                </c:pt>
                <c:pt idx="26">
                  <c:v>204</c:v>
                </c:pt>
                <c:pt idx="27">
                  <c:v>173</c:v>
                </c:pt>
                <c:pt idx="28">
                  <c:v>241</c:v>
                </c:pt>
                <c:pt idx="29">
                  <c:v>292</c:v>
                </c:pt>
                <c:pt idx="30">
                  <c:v>225</c:v>
                </c:pt>
                <c:pt idx="31">
                  <c:v>185</c:v>
                </c:pt>
                <c:pt idx="32">
                  <c:v>182</c:v>
                </c:pt>
                <c:pt idx="33">
                  <c:v>234</c:v>
                </c:pt>
                <c:pt idx="34">
                  <c:v>236</c:v>
                </c:pt>
                <c:pt idx="35">
                  <c:v>177</c:v>
                </c:pt>
                <c:pt idx="36">
                  <c:v>199</c:v>
                </c:pt>
                <c:pt idx="37">
                  <c:v>250</c:v>
                </c:pt>
                <c:pt idx="38">
                  <c:v>200</c:v>
                </c:pt>
                <c:pt idx="39">
                  <c:v>193</c:v>
                </c:pt>
                <c:pt idx="40">
                  <c:v>163</c:v>
                </c:pt>
                <c:pt idx="41">
                  <c:v>240</c:v>
                </c:pt>
                <c:pt idx="42">
                  <c:v>231</c:v>
                </c:pt>
                <c:pt idx="43">
                  <c:v>171</c:v>
                </c:pt>
                <c:pt idx="44">
                  <c:v>217</c:v>
                </c:pt>
                <c:pt idx="45">
                  <c:v>220</c:v>
                </c:pt>
                <c:pt idx="46">
                  <c:v>254</c:v>
                </c:pt>
                <c:pt idx="47">
                  <c:v>235</c:v>
                </c:pt>
                <c:pt idx="48">
                  <c:v>218</c:v>
                </c:pt>
                <c:pt idx="49">
                  <c:v>263</c:v>
                </c:pt>
                <c:pt idx="50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5-3D41-A172-00AF69532F8F}"/>
            </c:ext>
          </c:extLst>
        </c:ser>
        <c:ser>
          <c:idx val="3"/>
          <c:order val="3"/>
          <c:tx>
            <c:strRef>
              <c:f>'BM011'!$E$1</c:f>
              <c:strCache>
                <c:ptCount val="1"/>
                <c:pt idx="0">
                  <c:v>Udbudte boliger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'BM011'!$A$2:$A$52</c:f>
              <c:strCache>
                <c:ptCount val="51"/>
                <c:pt idx="0">
                  <c:v>2008K1</c:v>
                </c:pt>
                <c:pt idx="1">
                  <c:v>2008K2</c:v>
                </c:pt>
                <c:pt idx="2">
                  <c:v>2008K3</c:v>
                </c:pt>
                <c:pt idx="3">
                  <c:v>2008K4</c:v>
                </c:pt>
                <c:pt idx="4">
                  <c:v>2009K1</c:v>
                </c:pt>
                <c:pt idx="5">
                  <c:v>2009K2</c:v>
                </c:pt>
                <c:pt idx="6">
                  <c:v>2009K3</c:v>
                </c:pt>
                <c:pt idx="7">
                  <c:v>2009K4</c:v>
                </c:pt>
                <c:pt idx="8">
                  <c:v>2010K1</c:v>
                </c:pt>
                <c:pt idx="9">
                  <c:v>2010K2</c:v>
                </c:pt>
                <c:pt idx="10">
                  <c:v>2010K3</c:v>
                </c:pt>
                <c:pt idx="11">
                  <c:v>2010K4</c:v>
                </c:pt>
                <c:pt idx="12">
                  <c:v>2011K1</c:v>
                </c:pt>
                <c:pt idx="13">
                  <c:v>2011K2</c:v>
                </c:pt>
                <c:pt idx="14">
                  <c:v>2011K3</c:v>
                </c:pt>
                <c:pt idx="15">
                  <c:v>2011K4</c:v>
                </c:pt>
                <c:pt idx="16">
                  <c:v>2012K1</c:v>
                </c:pt>
                <c:pt idx="17">
                  <c:v>2012K2</c:v>
                </c:pt>
                <c:pt idx="18">
                  <c:v>2012K3</c:v>
                </c:pt>
                <c:pt idx="19">
                  <c:v>2012K4</c:v>
                </c:pt>
                <c:pt idx="20">
                  <c:v>2013K1</c:v>
                </c:pt>
                <c:pt idx="21">
                  <c:v>2013K2</c:v>
                </c:pt>
                <c:pt idx="22">
                  <c:v>2013K3</c:v>
                </c:pt>
                <c:pt idx="23">
                  <c:v>2013K4</c:v>
                </c:pt>
                <c:pt idx="24">
                  <c:v>2014K1</c:v>
                </c:pt>
                <c:pt idx="25">
                  <c:v>2014K2</c:v>
                </c:pt>
                <c:pt idx="26">
                  <c:v>2014K3</c:v>
                </c:pt>
                <c:pt idx="27">
                  <c:v>2014K4</c:v>
                </c:pt>
                <c:pt idx="28">
                  <c:v>2015K1</c:v>
                </c:pt>
                <c:pt idx="29">
                  <c:v>2015K2</c:v>
                </c:pt>
                <c:pt idx="30">
                  <c:v>2015K3</c:v>
                </c:pt>
                <c:pt idx="31">
                  <c:v>2015K4</c:v>
                </c:pt>
                <c:pt idx="32">
                  <c:v>2016K1</c:v>
                </c:pt>
                <c:pt idx="33">
                  <c:v>2016K2</c:v>
                </c:pt>
                <c:pt idx="34">
                  <c:v>2016K3</c:v>
                </c:pt>
                <c:pt idx="35">
                  <c:v>2016K4</c:v>
                </c:pt>
                <c:pt idx="36">
                  <c:v>2017K1</c:v>
                </c:pt>
                <c:pt idx="37">
                  <c:v>2017K2</c:v>
                </c:pt>
                <c:pt idx="38">
                  <c:v>2017K3</c:v>
                </c:pt>
                <c:pt idx="39">
                  <c:v>2017K4</c:v>
                </c:pt>
                <c:pt idx="40">
                  <c:v>2018K1</c:v>
                </c:pt>
                <c:pt idx="41">
                  <c:v>2018K2</c:v>
                </c:pt>
                <c:pt idx="42">
                  <c:v>2018K3</c:v>
                </c:pt>
                <c:pt idx="43">
                  <c:v>2018K4</c:v>
                </c:pt>
                <c:pt idx="44">
                  <c:v>2019K1</c:v>
                </c:pt>
                <c:pt idx="45">
                  <c:v>2019K2</c:v>
                </c:pt>
                <c:pt idx="46">
                  <c:v>2019K3</c:v>
                </c:pt>
                <c:pt idx="47">
                  <c:v>2019K4</c:v>
                </c:pt>
                <c:pt idx="48">
                  <c:v>2020K1</c:v>
                </c:pt>
                <c:pt idx="49">
                  <c:v>2020K2</c:v>
                </c:pt>
                <c:pt idx="50">
                  <c:v>2020K3</c:v>
                </c:pt>
              </c:strCache>
            </c:strRef>
          </c:cat>
          <c:val>
            <c:numRef>
              <c:f>'BM011'!$E$2:$E$52</c:f>
              <c:numCache>
                <c:formatCode>General</c:formatCode>
                <c:ptCount val="51"/>
                <c:pt idx="0">
                  <c:v>467</c:v>
                </c:pt>
                <c:pt idx="1">
                  <c:v>487</c:v>
                </c:pt>
                <c:pt idx="2">
                  <c:v>495</c:v>
                </c:pt>
                <c:pt idx="3">
                  <c:v>449</c:v>
                </c:pt>
                <c:pt idx="4">
                  <c:v>377</c:v>
                </c:pt>
                <c:pt idx="5">
                  <c:v>310</c:v>
                </c:pt>
                <c:pt idx="6">
                  <c:v>298</c:v>
                </c:pt>
                <c:pt idx="7">
                  <c:v>292</c:v>
                </c:pt>
                <c:pt idx="8">
                  <c:v>320</c:v>
                </c:pt>
                <c:pt idx="9">
                  <c:v>381</c:v>
                </c:pt>
                <c:pt idx="10">
                  <c:v>351</c:v>
                </c:pt>
                <c:pt idx="11">
                  <c:v>316</c:v>
                </c:pt>
                <c:pt idx="12">
                  <c:v>367</c:v>
                </c:pt>
                <c:pt idx="13">
                  <c:v>529</c:v>
                </c:pt>
                <c:pt idx="14">
                  <c:v>563</c:v>
                </c:pt>
                <c:pt idx="15">
                  <c:v>417</c:v>
                </c:pt>
                <c:pt idx="16">
                  <c:v>349</c:v>
                </c:pt>
                <c:pt idx="17">
                  <c:v>343</c:v>
                </c:pt>
                <c:pt idx="18">
                  <c:v>338</c:v>
                </c:pt>
                <c:pt idx="19">
                  <c:v>309</c:v>
                </c:pt>
                <c:pt idx="20">
                  <c:v>311</c:v>
                </c:pt>
                <c:pt idx="21">
                  <c:v>351</c:v>
                </c:pt>
                <c:pt idx="22">
                  <c:v>349</c:v>
                </c:pt>
                <c:pt idx="23">
                  <c:v>311</c:v>
                </c:pt>
                <c:pt idx="24">
                  <c:v>316</c:v>
                </c:pt>
                <c:pt idx="25">
                  <c:v>361</c:v>
                </c:pt>
                <c:pt idx="26">
                  <c:v>378</c:v>
                </c:pt>
                <c:pt idx="27">
                  <c:v>290</c:v>
                </c:pt>
                <c:pt idx="28">
                  <c:v>240</c:v>
                </c:pt>
                <c:pt idx="29">
                  <c:v>261</c:v>
                </c:pt>
                <c:pt idx="30">
                  <c:v>315</c:v>
                </c:pt>
                <c:pt idx="31">
                  <c:v>273</c:v>
                </c:pt>
                <c:pt idx="32">
                  <c:v>290</c:v>
                </c:pt>
                <c:pt idx="33">
                  <c:v>370</c:v>
                </c:pt>
                <c:pt idx="34">
                  <c:v>375</c:v>
                </c:pt>
                <c:pt idx="35">
                  <c:v>323</c:v>
                </c:pt>
                <c:pt idx="36">
                  <c:v>309</c:v>
                </c:pt>
                <c:pt idx="37">
                  <c:v>319</c:v>
                </c:pt>
                <c:pt idx="38">
                  <c:v>353</c:v>
                </c:pt>
                <c:pt idx="39">
                  <c:v>340</c:v>
                </c:pt>
                <c:pt idx="40">
                  <c:v>427</c:v>
                </c:pt>
                <c:pt idx="41">
                  <c:v>507</c:v>
                </c:pt>
                <c:pt idx="42">
                  <c:v>509</c:v>
                </c:pt>
                <c:pt idx="43">
                  <c:v>484</c:v>
                </c:pt>
                <c:pt idx="44">
                  <c:v>507</c:v>
                </c:pt>
                <c:pt idx="45">
                  <c:v>537</c:v>
                </c:pt>
                <c:pt idx="46">
                  <c:v>513</c:v>
                </c:pt>
                <c:pt idx="47">
                  <c:v>402</c:v>
                </c:pt>
                <c:pt idx="48">
                  <c:v>365</c:v>
                </c:pt>
                <c:pt idx="49">
                  <c:v>361</c:v>
                </c:pt>
                <c:pt idx="50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55-3D41-A172-00AF69532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149407"/>
        <c:axId val="1978344479"/>
      </c:lineChart>
      <c:catAx>
        <c:axId val="197814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78344479"/>
        <c:crosses val="autoZero"/>
        <c:auto val="1"/>
        <c:lblAlgn val="ctr"/>
        <c:lblOffset val="100"/>
        <c:noMultiLvlLbl val="0"/>
      </c:catAx>
      <c:valAx>
        <c:axId val="197834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7814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Number of condominiums sold 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'Ark1'!$B$2:$B$69</c:f>
              <c:numCache>
                <c:formatCode>General</c:formatCode>
                <c:ptCount val="68"/>
                <c:pt idx="0">
                  <c:v>203</c:v>
                </c:pt>
                <c:pt idx="1">
                  <c:v>164</c:v>
                </c:pt>
                <c:pt idx="2">
                  <c:v>116</c:v>
                </c:pt>
                <c:pt idx="3">
                  <c:v>133</c:v>
                </c:pt>
                <c:pt idx="4">
                  <c:v>171</c:v>
                </c:pt>
                <c:pt idx="5">
                  <c:v>175</c:v>
                </c:pt>
                <c:pt idx="6">
                  <c:v>227</c:v>
                </c:pt>
                <c:pt idx="7">
                  <c:v>156</c:v>
                </c:pt>
                <c:pt idx="8">
                  <c:v>191</c:v>
                </c:pt>
                <c:pt idx="9">
                  <c:v>145</c:v>
                </c:pt>
                <c:pt idx="10">
                  <c:v>129</c:v>
                </c:pt>
                <c:pt idx="11">
                  <c:v>85</c:v>
                </c:pt>
                <c:pt idx="12">
                  <c:v>121</c:v>
                </c:pt>
                <c:pt idx="13">
                  <c:v>163</c:v>
                </c:pt>
                <c:pt idx="14">
                  <c:v>183</c:v>
                </c:pt>
                <c:pt idx="15">
                  <c:v>139</c:v>
                </c:pt>
                <c:pt idx="16">
                  <c:v>167</c:v>
                </c:pt>
                <c:pt idx="17">
                  <c:v>162</c:v>
                </c:pt>
                <c:pt idx="18">
                  <c:v>126</c:v>
                </c:pt>
                <c:pt idx="19">
                  <c:v>69</c:v>
                </c:pt>
                <c:pt idx="20">
                  <c:v>79</c:v>
                </c:pt>
                <c:pt idx="21">
                  <c:v>172</c:v>
                </c:pt>
                <c:pt idx="22">
                  <c:v>153</c:v>
                </c:pt>
                <c:pt idx="23">
                  <c:v>135</c:v>
                </c:pt>
                <c:pt idx="24">
                  <c:v>143</c:v>
                </c:pt>
                <c:pt idx="25">
                  <c:v>185</c:v>
                </c:pt>
                <c:pt idx="26">
                  <c:v>183</c:v>
                </c:pt>
                <c:pt idx="27">
                  <c:v>148</c:v>
                </c:pt>
                <c:pt idx="28">
                  <c:v>142</c:v>
                </c:pt>
                <c:pt idx="29">
                  <c:v>107</c:v>
                </c:pt>
                <c:pt idx="30">
                  <c:v>137</c:v>
                </c:pt>
                <c:pt idx="31">
                  <c:v>123</c:v>
                </c:pt>
                <c:pt idx="32">
                  <c:v>113</c:v>
                </c:pt>
                <c:pt idx="33">
                  <c:v>142</c:v>
                </c:pt>
                <c:pt idx="34">
                  <c:v>163</c:v>
                </c:pt>
                <c:pt idx="35">
                  <c:v>134</c:v>
                </c:pt>
                <c:pt idx="36">
                  <c:v>129</c:v>
                </c:pt>
                <c:pt idx="37">
                  <c:v>145</c:v>
                </c:pt>
                <c:pt idx="38">
                  <c:v>155</c:v>
                </c:pt>
                <c:pt idx="39">
                  <c:v>112</c:v>
                </c:pt>
                <c:pt idx="40">
                  <c:v>143</c:v>
                </c:pt>
                <c:pt idx="41">
                  <c:v>166</c:v>
                </c:pt>
                <c:pt idx="42">
                  <c:v>204</c:v>
                </c:pt>
                <c:pt idx="43">
                  <c:v>173</c:v>
                </c:pt>
                <c:pt idx="44">
                  <c:v>241</c:v>
                </c:pt>
                <c:pt idx="45">
                  <c:v>292</c:v>
                </c:pt>
                <c:pt idx="46">
                  <c:v>225</c:v>
                </c:pt>
                <c:pt idx="47">
                  <c:v>185</c:v>
                </c:pt>
                <c:pt idx="48">
                  <c:v>182</c:v>
                </c:pt>
                <c:pt idx="49">
                  <c:v>234</c:v>
                </c:pt>
                <c:pt idx="50">
                  <c:v>236</c:v>
                </c:pt>
                <c:pt idx="51">
                  <c:v>177</c:v>
                </c:pt>
                <c:pt idx="52">
                  <c:v>199</c:v>
                </c:pt>
                <c:pt idx="53">
                  <c:v>250</c:v>
                </c:pt>
                <c:pt idx="54">
                  <c:v>200</c:v>
                </c:pt>
                <c:pt idx="55">
                  <c:v>193</c:v>
                </c:pt>
                <c:pt idx="56">
                  <c:v>163</c:v>
                </c:pt>
                <c:pt idx="57">
                  <c:v>240</c:v>
                </c:pt>
                <c:pt idx="58">
                  <c:v>231</c:v>
                </c:pt>
                <c:pt idx="59">
                  <c:v>171</c:v>
                </c:pt>
                <c:pt idx="60">
                  <c:v>217</c:v>
                </c:pt>
                <c:pt idx="61">
                  <c:v>220</c:v>
                </c:pt>
                <c:pt idx="62">
                  <c:v>254</c:v>
                </c:pt>
                <c:pt idx="63">
                  <c:v>235</c:v>
                </c:pt>
                <c:pt idx="64">
                  <c:v>218</c:v>
                </c:pt>
                <c:pt idx="65">
                  <c:v>264</c:v>
                </c:pt>
                <c:pt idx="66">
                  <c:v>262</c:v>
                </c:pt>
                <c:pt idx="67">
                  <c:v>279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A0-1042-B356-30240FA17F60}"/>
            </c:ext>
          </c:extLst>
        </c:ser>
        <c:ser>
          <c:idx val="1"/>
          <c:order val="1"/>
          <c:tx>
            <c:strRef>
              <c:f>'Ark1'!$C$1</c:f>
              <c:strCache>
                <c:ptCount val="1"/>
                <c:pt idx="0">
                  <c:v>Number of condominiums for sale (ultimo)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'Ark1'!$C$2:$C$69</c:f>
              <c:numCache>
                <c:formatCode>General</c:formatCode>
                <c:ptCount val="68"/>
                <c:pt idx="0">
                  <c:v>91</c:v>
                </c:pt>
                <c:pt idx="1">
                  <c:v>131</c:v>
                </c:pt>
                <c:pt idx="2">
                  <c:v>150</c:v>
                </c:pt>
                <c:pt idx="3">
                  <c:v>144</c:v>
                </c:pt>
                <c:pt idx="4">
                  <c:v>144</c:v>
                </c:pt>
                <c:pt idx="5">
                  <c:v>234</c:v>
                </c:pt>
                <c:pt idx="6">
                  <c:v>230</c:v>
                </c:pt>
                <c:pt idx="7">
                  <c:v>249</c:v>
                </c:pt>
                <c:pt idx="8">
                  <c:v>283</c:v>
                </c:pt>
                <c:pt idx="9">
                  <c:v>447</c:v>
                </c:pt>
                <c:pt idx="10">
                  <c:v>589</c:v>
                </c:pt>
                <c:pt idx="11">
                  <c:v>605</c:v>
                </c:pt>
                <c:pt idx="12">
                  <c:v>610</c:v>
                </c:pt>
                <c:pt idx="13">
                  <c:v>676</c:v>
                </c:pt>
                <c:pt idx="14">
                  <c:v>643</c:v>
                </c:pt>
                <c:pt idx="15">
                  <c:v>559</c:v>
                </c:pt>
                <c:pt idx="16">
                  <c:v>467</c:v>
                </c:pt>
                <c:pt idx="17">
                  <c:v>487</c:v>
                </c:pt>
                <c:pt idx="18">
                  <c:v>495</c:v>
                </c:pt>
                <c:pt idx="19">
                  <c:v>449</c:v>
                </c:pt>
                <c:pt idx="20">
                  <c:v>377</c:v>
                </c:pt>
                <c:pt idx="21">
                  <c:v>310</c:v>
                </c:pt>
                <c:pt idx="22">
                  <c:v>298</c:v>
                </c:pt>
                <c:pt idx="23">
                  <c:v>292</c:v>
                </c:pt>
                <c:pt idx="24">
                  <c:v>320</c:v>
                </c:pt>
                <c:pt idx="25">
                  <c:v>381</c:v>
                </c:pt>
                <c:pt idx="26">
                  <c:v>351</c:v>
                </c:pt>
                <c:pt idx="27">
                  <c:v>316</c:v>
                </c:pt>
                <c:pt idx="28">
                  <c:v>367</c:v>
                </c:pt>
                <c:pt idx="29">
                  <c:v>529</c:v>
                </c:pt>
                <c:pt idx="30">
                  <c:v>563</c:v>
                </c:pt>
                <c:pt idx="31">
                  <c:v>417</c:v>
                </c:pt>
                <c:pt idx="32">
                  <c:v>349</c:v>
                </c:pt>
                <c:pt idx="33">
                  <c:v>343</c:v>
                </c:pt>
                <c:pt idx="34">
                  <c:v>338</c:v>
                </c:pt>
                <c:pt idx="35">
                  <c:v>309</c:v>
                </c:pt>
                <c:pt idx="36">
                  <c:v>311</c:v>
                </c:pt>
                <c:pt idx="37">
                  <c:v>351</c:v>
                </c:pt>
                <c:pt idx="38">
                  <c:v>349</c:v>
                </c:pt>
                <c:pt idx="39">
                  <c:v>311</c:v>
                </c:pt>
                <c:pt idx="40">
                  <c:v>316</c:v>
                </c:pt>
                <c:pt idx="41">
                  <c:v>361</c:v>
                </c:pt>
                <c:pt idx="42">
                  <c:v>378</c:v>
                </c:pt>
                <c:pt idx="43">
                  <c:v>290</c:v>
                </c:pt>
                <c:pt idx="44">
                  <c:v>240</c:v>
                </c:pt>
                <c:pt idx="45">
                  <c:v>261</c:v>
                </c:pt>
                <c:pt idx="46">
                  <c:v>315</c:v>
                </c:pt>
                <c:pt idx="47">
                  <c:v>273</c:v>
                </c:pt>
                <c:pt idx="48">
                  <c:v>290</c:v>
                </c:pt>
                <c:pt idx="49">
                  <c:v>370</c:v>
                </c:pt>
                <c:pt idx="50">
                  <c:v>375</c:v>
                </c:pt>
                <c:pt idx="51">
                  <c:v>323</c:v>
                </c:pt>
                <c:pt idx="52">
                  <c:v>309</c:v>
                </c:pt>
                <c:pt idx="53">
                  <c:v>319</c:v>
                </c:pt>
                <c:pt idx="54">
                  <c:v>353</c:v>
                </c:pt>
                <c:pt idx="55">
                  <c:v>340</c:v>
                </c:pt>
                <c:pt idx="56">
                  <c:v>427</c:v>
                </c:pt>
                <c:pt idx="57">
                  <c:v>507</c:v>
                </c:pt>
                <c:pt idx="58">
                  <c:v>509</c:v>
                </c:pt>
                <c:pt idx="59">
                  <c:v>484</c:v>
                </c:pt>
                <c:pt idx="60">
                  <c:v>507</c:v>
                </c:pt>
                <c:pt idx="61">
                  <c:v>537</c:v>
                </c:pt>
                <c:pt idx="62">
                  <c:v>513</c:v>
                </c:pt>
                <c:pt idx="63">
                  <c:v>402</c:v>
                </c:pt>
                <c:pt idx="64">
                  <c:v>365</c:v>
                </c:pt>
                <c:pt idx="65">
                  <c:v>361</c:v>
                </c:pt>
                <c:pt idx="66">
                  <c:v>333</c:v>
                </c:pt>
                <c:pt idx="67">
                  <c:v>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A0-1042-B356-30240FA17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342559"/>
        <c:axId val="2005880335"/>
      </c:lineChart>
      <c:catAx>
        <c:axId val="1538342559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05880335"/>
        <c:crosses val="autoZero"/>
        <c:auto val="1"/>
        <c:lblAlgn val="ctr"/>
        <c:lblOffset val="100"/>
        <c:tickLblSkip val="4"/>
        <c:noMultiLvlLbl val="0"/>
      </c:catAx>
      <c:valAx>
        <c:axId val="200588033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834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'Ark4'!$E$2</c:f>
              <c:strCache>
                <c:ptCount val="1"/>
                <c:pt idx="0">
                  <c:v>Aggregate average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'Ark4'!$E$3:$E$118</c:f>
              <c:numCache>
                <c:formatCode>General</c:formatCode>
                <c:ptCount val="116"/>
                <c:pt idx="0">
                  <c:v>4760.666666666667</c:v>
                </c:pt>
                <c:pt idx="1">
                  <c:v>4811</c:v>
                </c:pt>
                <c:pt idx="2">
                  <c:v>4662.333333333333</c:v>
                </c:pt>
                <c:pt idx="3">
                  <c:v>4602.333333333333</c:v>
                </c:pt>
                <c:pt idx="4">
                  <c:v>4528.666666666667</c:v>
                </c:pt>
                <c:pt idx="5">
                  <c:v>4693.666666666667</c:v>
                </c:pt>
                <c:pt idx="6">
                  <c:v>4844.333333333333</c:v>
                </c:pt>
                <c:pt idx="7">
                  <c:v>4861.666666666667</c:v>
                </c:pt>
                <c:pt idx="8">
                  <c:v>4947.333333333333</c:v>
                </c:pt>
                <c:pt idx="9">
                  <c:v>4977.666666666667</c:v>
                </c:pt>
                <c:pt idx="10">
                  <c:v>4920.666666666667</c:v>
                </c:pt>
                <c:pt idx="11">
                  <c:v>4922.333333333333</c:v>
                </c:pt>
                <c:pt idx="12">
                  <c:v>4944</c:v>
                </c:pt>
                <c:pt idx="13">
                  <c:v>5107.333333333333</c:v>
                </c:pt>
                <c:pt idx="14">
                  <c:v>5134</c:v>
                </c:pt>
                <c:pt idx="15">
                  <c:v>5304</c:v>
                </c:pt>
                <c:pt idx="16">
                  <c:v>5464.666666666667</c:v>
                </c:pt>
                <c:pt idx="17">
                  <c:v>5689.333333333333</c:v>
                </c:pt>
                <c:pt idx="18">
                  <c:v>5649.333333333333</c:v>
                </c:pt>
                <c:pt idx="19">
                  <c:v>5766</c:v>
                </c:pt>
                <c:pt idx="20">
                  <c:v>6048.333333333333</c:v>
                </c:pt>
                <c:pt idx="21">
                  <c:v>6210</c:v>
                </c:pt>
                <c:pt idx="22">
                  <c:v>6321</c:v>
                </c:pt>
                <c:pt idx="23">
                  <c:v>6458.666666666667</c:v>
                </c:pt>
                <c:pt idx="24">
                  <c:v>6757.666666666667</c:v>
                </c:pt>
                <c:pt idx="25">
                  <c:v>6943.333333333333</c:v>
                </c:pt>
                <c:pt idx="26">
                  <c:v>7050</c:v>
                </c:pt>
                <c:pt idx="27">
                  <c:v>7263.333333333333</c:v>
                </c:pt>
                <c:pt idx="28">
                  <c:v>7564.666666666667</c:v>
                </c:pt>
                <c:pt idx="29">
                  <c:v>7872.333333333333</c:v>
                </c:pt>
                <c:pt idx="30">
                  <c:v>7939.333333333333</c:v>
                </c:pt>
                <c:pt idx="31">
                  <c:v>7881.333333333333</c:v>
                </c:pt>
                <c:pt idx="32">
                  <c:v>8167.333333333333</c:v>
                </c:pt>
                <c:pt idx="33">
                  <c:v>8508.3333333333339</c:v>
                </c:pt>
                <c:pt idx="34">
                  <c:v>8639</c:v>
                </c:pt>
                <c:pt idx="35">
                  <c:v>8719.3333333333339</c:v>
                </c:pt>
                <c:pt idx="36">
                  <c:v>9037.3333333333339</c:v>
                </c:pt>
                <c:pt idx="37">
                  <c:v>9325.6666666666661</c:v>
                </c:pt>
                <c:pt idx="38">
                  <c:v>9450.3333333333339</c:v>
                </c:pt>
                <c:pt idx="39">
                  <c:v>9378</c:v>
                </c:pt>
                <c:pt idx="40">
                  <c:v>9681</c:v>
                </c:pt>
                <c:pt idx="41">
                  <c:v>10018.333333333334</c:v>
                </c:pt>
                <c:pt idx="42">
                  <c:v>10146</c:v>
                </c:pt>
                <c:pt idx="43">
                  <c:v>10074.333333333334</c:v>
                </c:pt>
                <c:pt idx="44">
                  <c:v>10326</c:v>
                </c:pt>
                <c:pt idx="45">
                  <c:v>10713</c:v>
                </c:pt>
                <c:pt idx="46">
                  <c:v>10940.666666666666</c:v>
                </c:pt>
                <c:pt idx="47">
                  <c:v>11023.666666666666</c:v>
                </c:pt>
                <c:pt idx="48">
                  <c:v>11492.666666666666</c:v>
                </c:pt>
                <c:pt idx="49">
                  <c:v>12072.333333333334</c:v>
                </c:pt>
                <c:pt idx="50">
                  <c:v>12602.666666666666</c:v>
                </c:pt>
                <c:pt idx="51">
                  <c:v>12877.333333333334</c:v>
                </c:pt>
                <c:pt idx="52">
                  <c:v>13587.666666666666</c:v>
                </c:pt>
                <c:pt idx="53">
                  <c:v>14494.333333333334</c:v>
                </c:pt>
                <c:pt idx="54">
                  <c:v>15525.333333333334</c:v>
                </c:pt>
                <c:pt idx="55">
                  <c:v>16299.333333333334</c:v>
                </c:pt>
                <c:pt idx="56">
                  <c:v>17044</c:v>
                </c:pt>
                <c:pt idx="57">
                  <c:v>18107</c:v>
                </c:pt>
                <c:pt idx="58">
                  <c:v>18289.333333333332</c:v>
                </c:pt>
                <c:pt idx="59">
                  <c:v>18055.666666666668</c:v>
                </c:pt>
                <c:pt idx="60">
                  <c:v>17865.333333333332</c:v>
                </c:pt>
                <c:pt idx="61">
                  <c:v>18177</c:v>
                </c:pt>
                <c:pt idx="62">
                  <c:v>17941.666666666668</c:v>
                </c:pt>
                <c:pt idx="63">
                  <c:v>17627.666666666668</c:v>
                </c:pt>
                <c:pt idx="64">
                  <c:v>17355.333333333332</c:v>
                </c:pt>
                <c:pt idx="65">
                  <c:v>17363</c:v>
                </c:pt>
                <c:pt idx="66">
                  <c:v>16964.333333333332</c:v>
                </c:pt>
                <c:pt idx="67">
                  <c:v>15511</c:v>
                </c:pt>
                <c:pt idx="68">
                  <c:v>14375.666666666666</c:v>
                </c:pt>
                <c:pt idx="69">
                  <c:v>14885.333333333334</c:v>
                </c:pt>
                <c:pt idx="70">
                  <c:v>14948.666666666666</c:v>
                </c:pt>
                <c:pt idx="71">
                  <c:v>15193.666666666666</c:v>
                </c:pt>
                <c:pt idx="72">
                  <c:v>15244</c:v>
                </c:pt>
                <c:pt idx="73">
                  <c:v>15619.333333333334</c:v>
                </c:pt>
                <c:pt idx="74">
                  <c:v>15446.666666666666</c:v>
                </c:pt>
                <c:pt idx="75">
                  <c:v>15422</c:v>
                </c:pt>
                <c:pt idx="76">
                  <c:v>15230</c:v>
                </c:pt>
                <c:pt idx="77">
                  <c:v>15199</c:v>
                </c:pt>
                <c:pt idx="78">
                  <c:v>14611.666666666666</c:v>
                </c:pt>
                <c:pt idx="79">
                  <c:v>14412.333333333334</c:v>
                </c:pt>
                <c:pt idx="80">
                  <c:v>14110.666666666666</c:v>
                </c:pt>
                <c:pt idx="81">
                  <c:v>14341.333333333334</c:v>
                </c:pt>
                <c:pt idx="82">
                  <c:v>14276.333333333334</c:v>
                </c:pt>
                <c:pt idx="83">
                  <c:v>14222</c:v>
                </c:pt>
                <c:pt idx="84">
                  <c:v>14452.666666666666</c:v>
                </c:pt>
                <c:pt idx="85">
                  <c:v>14803.666666666666</c:v>
                </c:pt>
                <c:pt idx="86">
                  <c:v>14814</c:v>
                </c:pt>
                <c:pt idx="87">
                  <c:v>14783</c:v>
                </c:pt>
                <c:pt idx="88">
                  <c:v>14643.333333333334</c:v>
                </c:pt>
                <c:pt idx="89">
                  <c:v>15149</c:v>
                </c:pt>
                <c:pt idx="90">
                  <c:v>15051</c:v>
                </c:pt>
                <c:pt idx="91">
                  <c:v>15027.666666666666</c:v>
                </c:pt>
                <c:pt idx="92">
                  <c:v>15543</c:v>
                </c:pt>
                <c:pt idx="93">
                  <c:v>16270</c:v>
                </c:pt>
                <c:pt idx="94">
                  <c:v>16178</c:v>
                </c:pt>
                <c:pt idx="95">
                  <c:v>16066.333333333334</c:v>
                </c:pt>
                <c:pt idx="96">
                  <c:v>16237.666666666666</c:v>
                </c:pt>
                <c:pt idx="97">
                  <c:v>16956.333333333332</c:v>
                </c:pt>
                <c:pt idx="98">
                  <c:v>17033</c:v>
                </c:pt>
                <c:pt idx="99">
                  <c:v>16911.666666666668</c:v>
                </c:pt>
                <c:pt idx="100">
                  <c:v>17066.333333333332</c:v>
                </c:pt>
                <c:pt idx="101">
                  <c:v>17910.333333333332</c:v>
                </c:pt>
                <c:pt idx="102">
                  <c:v>18123.333333333332</c:v>
                </c:pt>
                <c:pt idx="103">
                  <c:v>18142.666666666668</c:v>
                </c:pt>
                <c:pt idx="104">
                  <c:v>18493.666666666668</c:v>
                </c:pt>
                <c:pt idx="105">
                  <c:v>18947.333333333332</c:v>
                </c:pt>
                <c:pt idx="106">
                  <c:v>18885.333333333332</c:v>
                </c:pt>
                <c:pt idx="107">
                  <c:v>18652</c:v>
                </c:pt>
                <c:pt idx="108">
                  <c:v>18681.333333333332</c:v>
                </c:pt>
                <c:pt idx="109">
                  <c:v>19269.666666666668</c:v>
                </c:pt>
                <c:pt idx="110">
                  <c:v>19320</c:v>
                </c:pt>
                <c:pt idx="111">
                  <c:v>19386</c:v>
                </c:pt>
                <c:pt idx="112">
                  <c:v>19537</c:v>
                </c:pt>
                <c:pt idx="113">
                  <c:v>19894.333333333332</c:v>
                </c:pt>
                <c:pt idx="114">
                  <c:v>20677</c:v>
                </c:pt>
                <c:pt idx="115">
                  <c:v>21152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B40-B549-B036-3102204B879F}"/>
            </c:ext>
          </c:extLst>
        </c:ser>
        <c:ser>
          <c:idx val="4"/>
          <c:order val="1"/>
          <c:tx>
            <c:strRef>
              <c:f>'Ark4'!$F$2</c:f>
              <c:strCache>
                <c:ptCount val="1"/>
                <c:pt idx="0">
                  <c:v>Condominium (Aarhus)</c:v>
                </c:pt>
              </c:strCache>
            </c:strRef>
          </c:tx>
          <c:spPr>
            <a:ln w="444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'Ark4'!$F$3:$F$118</c:f>
              <c:numCache>
                <c:formatCode>General</c:formatCode>
                <c:ptCount val="116"/>
                <c:pt idx="0">
                  <c:v>7439</c:v>
                </c:pt>
                <c:pt idx="1">
                  <c:v>7347</c:v>
                </c:pt>
                <c:pt idx="2">
                  <c:v>7597</c:v>
                </c:pt>
                <c:pt idx="3">
                  <c:v>7151</c:v>
                </c:pt>
                <c:pt idx="4">
                  <c:v>6413</c:v>
                </c:pt>
                <c:pt idx="5">
                  <c:v>7076</c:v>
                </c:pt>
                <c:pt idx="6">
                  <c:v>7544</c:v>
                </c:pt>
                <c:pt idx="7">
                  <c:v>7326</c:v>
                </c:pt>
                <c:pt idx="8">
                  <c:v>7690</c:v>
                </c:pt>
                <c:pt idx="9">
                  <c:v>7430</c:v>
                </c:pt>
                <c:pt idx="10">
                  <c:v>7680</c:v>
                </c:pt>
                <c:pt idx="11">
                  <c:v>7519</c:v>
                </c:pt>
                <c:pt idx="12">
                  <c:v>7377</c:v>
                </c:pt>
                <c:pt idx="13">
                  <c:v>8073</c:v>
                </c:pt>
                <c:pt idx="14">
                  <c:v>8453</c:v>
                </c:pt>
                <c:pt idx="15">
                  <c:v>8406</c:v>
                </c:pt>
                <c:pt idx="16">
                  <c:v>8620</c:v>
                </c:pt>
                <c:pt idx="17">
                  <c:v>9303</c:v>
                </c:pt>
                <c:pt idx="18">
                  <c:v>9726</c:v>
                </c:pt>
                <c:pt idx="19">
                  <c:v>9648</c:v>
                </c:pt>
                <c:pt idx="20">
                  <c:v>10447</c:v>
                </c:pt>
                <c:pt idx="21">
                  <c:v>10324</c:v>
                </c:pt>
                <c:pt idx="22">
                  <c:v>10941</c:v>
                </c:pt>
                <c:pt idx="23">
                  <c:v>10619</c:v>
                </c:pt>
                <c:pt idx="24">
                  <c:v>11170</c:v>
                </c:pt>
                <c:pt idx="25">
                  <c:v>11693</c:v>
                </c:pt>
                <c:pt idx="26">
                  <c:v>12575</c:v>
                </c:pt>
                <c:pt idx="27">
                  <c:v>11919</c:v>
                </c:pt>
                <c:pt idx="28">
                  <c:v>12018</c:v>
                </c:pt>
                <c:pt idx="29">
                  <c:v>12803</c:v>
                </c:pt>
                <c:pt idx="30">
                  <c:v>12842</c:v>
                </c:pt>
                <c:pt idx="31">
                  <c:v>12931</c:v>
                </c:pt>
                <c:pt idx="32">
                  <c:v>12246</c:v>
                </c:pt>
                <c:pt idx="33">
                  <c:v>13193</c:v>
                </c:pt>
                <c:pt idx="34">
                  <c:v>13760</c:v>
                </c:pt>
                <c:pt idx="35">
                  <c:v>12907</c:v>
                </c:pt>
                <c:pt idx="36">
                  <c:v>13564</c:v>
                </c:pt>
                <c:pt idx="37">
                  <c:v>13978</c:v>
                </c:pt>
                <c:pt idx="38">
                  <c:v>14674</c:v>
                </c:pt>
                <c:pt idx="39">
                  <c:v>13795</c:v>
                </c:pt>
                <c:pt idx="40">
                  <c:v>14068</c:v>
                </c:pt>
                <c:pt idx="41">
                  <c:v>14577</c:v>
                </c:pt>
                <c:pt idx="42">
                  <c:v>14597</c:v>
                </c:pt>
                <c:pt idx="43">
                  <c:v>14419</c:v>
                </c:pt>
                <c:pt idx="44">
                  <c:v>15674</c:v>
                </c:pt>
                <c:pt idx="45">
                  <c:v>16140</c:v>
                </c:pt>
                <c:pt idx="46">
                  <c:v>17148</c:v>
                </c:pt>
                <c:pt idx="47">
                  <c:v>17006</c:v>
                </c:pt>
                <c:pt idx="48">
                  <c:v>17539</c:v>
                </c:pt>
                <c:pt idx="49">
                  <c:v>19602</c:v>
                </c:pt>
                <c:pt idx="50">
                  <c:v>21301</c:v>
                </c:pt>
                <c:pt idx="51">
                  <c:v>22112</c:v>
                </c:pt>
                <c:pt idx="52">
                  <c:v>23067</c:v>
                </c:pt>
                <c:pt idx="53">
                  <c:v>24810</c:v>
                </c:pt>
                <c:pt idx="54">
                  <c:v>27374</c:v>
                </c:pt>
                <c:pt idx="55">
                  <c:v>27924</c:v>
                </c:pt>
                <c:pt idx="56">
                  <c:v>29518</c:v>
                </c:pt>
                <c:pt idx="57">
                  <c:v>30561</c:v>
                </c:pt>
                <c:pt idx="58">
                  <c:v>30509</c:v>
                </c:pt>
                <c:pt idx="59">
                  <c:v>29106</c:v>
                </c:pt>
                <c:pt idx="60">
                  <c:v>28562</c:v>
                </c:pt>
                <c:pt idx="61">
                  <c:v>27789</c:v>
                </c:pt>
                <c:pt idx="62">
                  <c:v>26530</c:v>
                </c:pt>
                <c:pt idx="63">
                  <c:v>25343</c:v>
                </c:pt>
                <c:pt idx="64">
                  <c:v>25221</c:v>
                </c:pt>
                <c:pt idx="65">
                  <c:v>25546</c:v>
                </c:pt>
                <c:pt idx="66">
                  <c:v>24585</c:v>
                </c:pt>
                <c:pt idx="67">
                  <c:v>22132</c:v>
                </c:pt>
                <c:pt idx="68">
                  <c:v>21935</c:v>
                </c:pt>
                <c:pt idx="69">
                  <c:v>23010</c:v>
                </c:pt>
                <c:pt idx="70">
                  <c:v>23440</c:v>
                </c:pt>
                <c:pt idx="71">
                  <c:v>24221</c:v>
                </c:pt>
                <c:pt idx="72">
                  <c:v>25202</c:v>
                </c:pt>
                <c:pt idx="73">
                  <c:v>25322</c:v>
                </c:pt>
                <c:pt idx="74">
                  <c:v>25267</c:v>
                </c:pt>
                <c:pt idx="75">
                  <c:v>25576</c:v>
                </c:pt>
                <c:pt idx="76">
                  <c:v>26148</c:v>
                </c:pt>
                <c:pt idx="77">
                  <c:v>26679</c:v>
                </c:pt>
                <c:pt idx="78">
                  <c:v>25338</c:v>
                </c:pt>
                <c:pt idx="79">
                  <c:v>24881</c:v>
                </c:pt>
                <c:pt idx="80">
                  <c:v>24593</c:v>
                </c:pt>
                <c:pt idx="81">
                  <c:v>24861</c:v>
                </c:pt>
                <c:pt idx="82">
                  <c:v>25372</c:v>
                </c:pt>
                <c:pt idx="83">
                  <c:v>25534</c:v>
                </c:pt>
                <c:pt idx="84">
                  <c:v>26637</c:v>
                </c:pt>
                <c:pt idx="85">
                  <c:v>27035</c:v>
                </c:pt>
                <c:pt idx="86">
                  <c:v>27657</c:v>
                </c:pt>
                <c:pt idx="87">
                  <c:v>26789</c:v>
                </c:pt>
                <c:pt idx="88">
                  <c:v>27223</c:v>
                </c:pt>
                <c:pt idx="89">
                  <c:v>28561</c:v>
                </c:pt>
                <c:pt idx="90">
                  <c:v>28807</c:v>
                </c:pt>
                <c:pt idx="91">
                  <c:v>28242</c:v>
                </c:pt>
                <c:pt idx="92">
                  <c:v>29323</c:v>
                </c:pt>
                <c:pt idx="93">
                  <c:v>30851</c:v>
                </c:pt>
                <c:pt idx="94">
                  <c:v>31410</c:v>
                </c:pt>
                <c:pt idx="95">
                  <c:v>31354</c:v>
                </c:pt>
                <c:pt idx="96">
                  <c:v>32792</c:v>
                </c:pt>
                <c:pt idx="97">
                  <c:v>33697</c:v>
                </c:pt>
                <c:pt idx="98">
                  <c:v>33303</c:v>
                </c:pt>
                <c:pt idx="99">
                  <c:v>33262</c:v>
                </c:pt>
                <c:pt idx="100">
                  <c:v>34555</c:v>
                </c:pt>
                <c:pt idx="101">
                  <c:v>34591</c:v>
                </c:pt>
                <c:pt idx="102">
                  <c:v>35046</c:v>
                </c:pt>
                <c:pt idx="103">
                  <c:v>34909</c:v>
                </c:pt>
                <c:pt idx="104">
                  <c:v>36300</c:v>
                </c:pt>
                <c:pt idx="105">
                  <c:v>35876</c:v>
                </c:pt>
                <c:pt idx="106">
                  <c:v>36630</c:v>
                </c:pt>
                <c:pt idx="107">
                  <c:v>35165</c:v>
                </c:pt>
                <c:pt idx="108">
                  <c:v>35695</c:v>
                </c:pt>
                <c:pt idx="109">
                  <c:v>36348</c:v>
                </c:pt>
                <c:pt idx="110">
                  <c:v>35561</c:v>
                </c:pt>
                <c:pt idx="111">
                  <c:v>36203</c:v>
                </c:pt>
                <c:pt idx="112">
                  <c:v>36878</c:v>
                </c:pt>
                <c:pt idx="113">
                  <c:v>36804</c:v>
                </c:pt>
                <c:pt idx="114">
                  <c:v>38538</c:v>
                </c:pt>
                <c:pt idx="115">
                  <c:v>38574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B40-B549-B036-3102204B8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65167"/>
        <c:axId val="1537347567"/>
      </c:lineChart>
      <c:catAx>
        <c:axId val="15719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7347567"/>
        <c:crosses val="autoZero"/>
        <c:auto val="1"/>
        <c:lblAlgn val="ctr"/>
        <c:lblOffset val="100"/>
        <c:tickLblSkip val="4"/>
        <c:noMultiLvlLbl val="0"/>
      </c:catAx>
      <c:valAx>
        <c:axId val="1537347567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719651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'Ark4'!$B$2</c:f>
              <c:strCache>
                <c:ptCount val="1"/>
                <c:pt idx="0">
                  <c:v>Detached/terraced house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'Ark4'!$B$3:$B$118</c:f>
              <c:numCache>
                <c:formatCode>General</c:formatCode>
                <c:ptCount val="116"/>
                <c:pt idx="0">
                  <c:v>4021</c:v>
                </c:pt>
                <c:pt idx="1">
                  <c:v>4129</c:v>
                </c:pt>
                <c:pt idx="2">
                  <c:v>4000</c:v>
                </c:pt>
                <c:pt idx="3">
                  <c:v>3945</c:v>
                </c:pt>
                <c:pt idx="4">
                  <c:v>3851</c:v>
                </c:pt>
                <c:pt idx="5">
                  <c:v>4135</c:v>
                </c:pt>
                <c:pt idx="6">
                  <c:v>4296</c:v>
                </c:pt>
                <c:pt idx="7">
                  <c:v>4301</c:v>
                </c:pt>
                <c:pt idx="8">
                  <c:v>4333</c:v>
                </c:pt>
                <c:pt idx="9">
                  <c:v>4432</c:v>
                </c:pt>
                <c:pt idx="10">
                  <c:v>4443</c:v>
                </c:pt>
                <c:pt idx="11">
                  <c:v>4403</c:v>
                </c:pt>
                <c:pt idx="12">
                  <c:v>4450</c:v>
                </c:pt>
                <c:pt idx="13">
                  <c:v>4593</c:v>
                </c:pt>
                <c:pt idx="14">
                  <c:v>4635</c:v>
                </c:pt>
                <c:pt idx="15">
                  <c:v>4840</c:v>
                </c:pt>
                <c:pt idx="16">
                  <c:v>4946</c:v>
                </c:pt>
                <c:pt idx="17">
                  <c:v>5151</c:v>
                </c:pt>
                <c:pt idx="18">
                  <c:v>5229</c:v>
                </c:pt>
                <c:pt idx="19">
                  <c:v>5344</c:v>
                </c:pt>
                <c:pt idx="20">
                  <c:v>5567</c:v>
                </c:pt>
                <c:pt idx="21">
                  <c:v>5733</c:v>
                </c:pt>
                <c:pt idx="22">
                  <c:v>5806</c:v>
                </c:pt>
                <c:pt idx="23">
                  <c:v>5870</c:v>
                </c:pt>
                <c:pt idx="24">
                  <c:v>6111</c:v>
                </c:pt>
                <c:pt idx="25">
                  <c:v>6313</c:v>
                </c:pt>
                <c:pt idx="26">
                  <c:v>6233</c:v>
                </c:pt>
                <c:pt idx="27">
                  <c:v>6344</c:v>
                </c:pt>
                <c:pt idx="28">
                  <c:v>6616</c:v>
                </c:pt>
                <c:pt idx="29">
                  <c:v>6907</c:v>
                </c:pt>
                <c:pt idx="30">
                  <c:v>6825</c:v>
                </c:pt>
                <c:pt idx="31">
                  <c:v>6846</c:v>
                </c:pt>
                <c:pt idx="32">
                  <c:v>7023</c:v>
                </c:pt>
                <c:pt idx="33">
                  <c:v>7268</c:v>
                </c:pt>
                <c:pt idx="34">
                  <c:v>7348</c:v>
                </c:pt>
                <c:pt idx="35">
                  <c:v>7352</c:v>
                </c:pt>
                <c:pt idx="36">
                  <c:v>7611</c:v>
                </c:pt>
                <c:pt idx="37">
                  <c:v>7771</c:v>
                </c:pt>
                <c:pt idx="38">
                  <c:v>7631</c:v>
                </c:pt>
                <c:pt idx="39">
                  <c:v>7550</c:v>
                </c:pt>
                <c:pt idx="40">
                  <c:v>7869</c:v>
                </c:pt>
                <c:pt idx="41">
                  <c:v>7990</c:v>
                </c:pt>
                <c:pt idx="42">
                  <c:v>7956</c:v>
                </c:pt>
                <c:pt idx="43">
                  <c:v>7794</c:v>
                </c:pt>
                <c:pt idx="44">
                  <c:v>7886</c:v>
                </c:pt>
                <c:pt idx="45">
                  <c:v>8320</c:v>
                </c:pt>
                <c:pt idx="46">
                  <c:v>8367</c:v>
                </c:pt>
                <c:pt idx="47">
                  <c:v>8312</c:v>
                </c:pt>
                <c:pt idx="48">
                  <c:v>8637</c:v>
                </c:pt>
                <c:pt idx="49">
                  <c:v>8911</c:v>
                </c:pt>
                <c:pt idx="50">
                  <c:v>9142</c:v>
                </c:pt>
                <c:pt idx="51">
                  <c:v>9354</c:v>
                </c:pt>
                <c:pt idx="52">
                  <c:v>9760</c:v>
                </c:pt>
                <c:pt idx="53">
                  <c:v>10369</c:v>
                </c:pt>
                <c:pt idx="54">
                  <c:v>10922</c:v>
                </c:pt>
                <c:pt idx="55">
                  <c:v>11493</c:v>
                </c:pt>
                <c:pt idx="56">
                  <c:v>12261</c:v>
                </c:pt>
                <c:pt idx="57">
                  <c:v>12997</c:v>
                </c:pt>
                <c:pt idx="58">
                  <c:v>13331</c:v>
                </c:pt>
                <c:pt idx="59">
                  <c:v>13408</c:v>
                </c:pt>
                <c:pt idx="60">
                  <c:v>13480</c:v>
                </c:pt>
                <c:pt idx="61">
                  <c:v>13716</c:v>
                </c:pt>
                <c:pt idx="62">
                  <c:v>13578</c:v>
                </c:pt>
                <c:pt idx="63">
                  <c:v>13503</c:v>
                </c:pt>
                <c:pt idx="64">
                  <c:v>13391</c:v>
                </c:pt>
                <c:pt idx="65">
                  <c:v>13435</c:v>
                </c:pt>
                <c:pt idx="66">
                  <c:v>12967</c:v>
                </c:pt>
                <c:pt idx="67">
                  <c:v>12198</c:v>
                </c:pt>
                <c:pt idx="68">
                  <c:v>11504</c:v>
                </c:pt>
                <c:pt idx="69">
                  <c:v>11690</c:v>
                </c:pt>
                <c:pt idx="70">
                  <c:v>11618</c:v>
                </c:pt>
                <c:pt idx="71">
                  <c:v>11736</c:v>
                </c:pt>
                <c:pt idx="72">
                  <c:v>11824</c:v>
                </c:pt>
                <c:pt idx="73">
                  <c:v>12102</c:v>
                </c:pt>
                <c:pt idx="74">
                  <c:v>12000</c:v>
                </c:pt>
                <c:pt idx="75">
                  <c:v>11930</c:v>
                </c:pt>
                <c:pt idx="76">
                  <c:v>11824</c:v>
                </c:pt>
                <c:pt idx="77">
                  <c:v>11812</c:v>
                </c:pt>
                <c:pt idx="78">
                  <c:v>11339</c:v>
                </c:pt>
                <c:pt idx="79">
                  <c:v>11145</c:v>
                </c:pt>
                <c:pt idx="80">
                  <c:v>10972</c:v>
                </c:pt>
                <c:pt idx="81">
                  <c:v>11072</c:v>
                </c:pt>
                <c:pt idx="82">
                  <c:v>11084</c:v>
                </c:pt>
                <c:pt idx="83">
                  <c:v>10931</c:v>
                </c:pt>
                <c:pt idx="84">
                  <c:v>11041</c:v>
                </c:pt>
                <c:pt idx="85">
                  <c:v>11167</c:v>
                </c:pt>
                <c:pt idx="86">
                  <c:v>11128</c:v>
                </c:pt>
                <c:pt idx="87">
                  <c:v>11082</c:v>
                </c:pt>
                <c:pt idx="88">
                  <c:v>11100</c:v>
                </c:pt>
                <c:pt idx="89">
                  <c:v>11406</c:v>
                </c:pt>
                <c:pt idx="90">
                  <c:v>11315</c:v>
                </c:pt>
                <c:pt idx="91">
                  <c:v>11285</c:v>
                </c:pt>
                <c:pt idx="92">
                  <c:v>11764</c:v>
                </c:pt>
                <c:pt idx="93">
                  <c:v>12192</c:v>
                </c:pt>
                <c:pt idx="94">
                  <c:v>12124</c:v>
                </c:pt>
                <c:pt idx="95">
                  <c:v>12026</c:v>
                </c:pt>
                <c:pt idx="96">
                  <c:v>12166</c:v>
                </c:pt>
                <c:pt idx="97">
                  <c:v>12528</c:v>
                </c:pt>
                <c:pt idx="98">
                  <c:v>12670</c:v>
                </c:pt>
                <c:pt idx="99">
                  <c:v>12529</c:v>
                </c:pt>
                <c:pt idx="100">
                  <c:v>12647</c:v>
                </c:pt>
                <c:pt idx="101">
                  <c:v>13152</c:v>
                </c:pt>
                <c:pt idx="102">
                  <c:v>13160</c:v>
                </c:pt>
                <c:pt idx="103">
                  <c:v>13179</c:v>
                </c:pt>
                <c:pt idx="104">
                  <c:v>13407</c:v>
                </c:pt>
                <c:pt idx="105">
                  <c:v>13628</c:v>
                </c:pt>
                <c:pt idx="106">
                  <c:v>13697</c:v>
                </c:pt>
                <c:pt idx="107">
                  <c:v>13638</c:v>
                </c:pt>
                <c:pt idx="108">
                  <c:v>13618</c:v>
                </c:pt>
                <c:pt idx="109">
                  <c:v>14002</c:v>
                </c:pt>
                <c:pt idx="110">
                  <c:v>14145</c:v>
                </c:pt>
                <c:pt idx="111">
                  <c:v>14176</c:v>
                </c:pt>
                <c:pt idx="112">
                  <c:v>14124</c:v>
                </c:pt>
                <c:pt idx="113">
                  <c:v>14350</c:v>
                </c:pt>
                <c:pt idx="114">
                  <c:v>14731</c:v>
                </c:pt>
                <c:pt idx="115">
                  <c:v>15014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11-844C-84BF-047965BFE1FB}"/>
            </c:ext>
          </c:extLst>
        </c:ser>
        <c:ser>
          <c:idx val="1"/>
          <c:order val="1"/>
          <c:tx>
            <c:strRef>
              <c:f>'Ark4'!$C$2</c:f>
              <c:strCache>
                <c:ptCount val="1"/>
                <c:pt idx="0">
                  <c:v>Condominium 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'Ark4'!$C$3:$C$118</c:f>
              <c:numCache>
                <c:formatCode>General</c:formatCode>
                <c:ptCount val="116"/>
                <c:pt idx="0">
                  <c:v>5820</c:v>
                </c:pt>
                <c:pt idx="1">
                  <c:v>5850</c:v>
                </c:pt>
                <c:pt idx="2">
                  <c:v>5737</c:v>
                </c:pt>
                <c:pt idx="3">
                  <c:v>5443</c:v>
                </c:pt>
                <c:pt idx="4">
                  <c:v>5304</c:v>
                </c:pt>
                <c:pt idx="5">
                  <c:v>5452</c:v>
                </c:pt>
                <c:pt idx="6">
                  <c:v>5801</c:v>
                </c:pt>
                <c:pt idx="7">
                  <c:v>5609</c:v>
                </c:pt>
                <c:pt idx="8">
                  <c:v>5776</c:v>
                </c:pt>
                <c:pt idx="9">
                  <c:v>5784</c:v>
                </c:pt>
                <c:pt idx="10">
                  <c:v>5748</c:v>
                </c:pt>
                <c:pt idx="11">
                  <c:v>5672</c:v>
                </c:pt>
                <c:pt idx="12">
                  <c:v>5663</c:v>
                </c:pt>
                <c:pt idx="13">
                  <c:v>5834</c:v>
                </c:pt>
                <c:pt idx="14">
                  <c:v>6032</c:v>
                </c:pt>
                <c:pt idx="15">
                  <c:v>6067</c:v>
                </c:pt>
                <c:pt idx="16">
                  <c:v>6191</c:v>
                </c:pt>
                <c:pt idx="17">
                  <c:v>6609</c:v>
                </c:pt>
                <c:pt idx="18">
                  <c:v>6621</c:v>
                </c:pt>
                <c:pt idx="19">
                  <c:v>6631</c:v>
                </c:pt>
                <c:pt idx="20">
                  <c:v>6907</c:v>
                </c:pt>
                <c:pt idx="21">
                  <c:v>7237</c:v>
                </c:pt>
                <c:pt idx="22">
                  <c:v>7464</c:v>
                </c:pt>
                <c:pt idx="23">
                  <c:v>7648</c:v>
                </c:pt>
                <c:pt idx="24">
                  <c:v>7956</c:v>
                </c:pt>
                <c:pt idx="25">
                  <c:v>8337</c:v>
                </c:pt>
                <c:pt idx="26">
                  <c:v>8627</c:v>
                </c:pt>
                <c:pt idx="27">
                  <c:v>8773</c:v>
                </c:pt>
                <c:pt idx="28">
                  <c:v>9261</c:v>
                </c:pt>
                <c:pt idx="29">
                  <c:v>9679</c:v>
                </c:pt>
                <c:pt idx="30">
                  <c:v>9952</c:v>
                </c:pt>
                <c:pt idx="31">
                  <c:v>9958</c:v>
                </c:pt>
                <c:pt idx="32">
                  <c:v>10204</c:v>
                </c:pt>
                <c:pt idx="33">
                  <c:v>10654</c:v>
                </c:pt>
                <c:pt idx="34">
                  <c:v>10946</c:v>
                </c:pt>
                <c:pt idx="35">
                  <c:v>11012</c:v>
                </c:pt>
                <c:pt idx="36">
                  <c:v>11523</c:v>
                </c:pt>
                <c:pt idx="37">
                  <c:v>11901</c:v>
                </c:pt>
                <c:pt idx="38">
                  <c:v>12457</c:v>
                </c:pt>
                <c:pt idx="39">
                  <c:v>12286</c:v>
                </c:pt>
                <c:pt idx="40">
                  <c:v>12525</c:v>
                </c:pt>
                <c:pt idx="41">
                  <c:v>13077</c:v>
                </c:pt>
                <c:pt idx="42">
                  <c:v>13193</c:v>
                </c:pt>
                <c:pt idx="43">
                  <c:v>13105</c:v>
                </c:pt>
                <c:pt idx="44">
                  <c:v>13491</c:v>
                </c:pt>
                <c:pt idx="45">
                  <c:v>13752</c:v>
                </c:pt>
                <c:pt idx="46">
                  <c:v>14050</c:v>
                </c:pt>
                <c:pt idx="47">
                  <c:v>14176</c:v>
                </c:pt>
                <c:pt idx="48">
                  <c:v>14710</c:v>
                </c:pt>
                <c:pt idx="49">
                  <c:v>15364</c:v>
                </c:pt>
                <c:pt idx="50">
                  <c:v>16024</c:v>
                </c:pt>
                <c:pt idx="51">
                  <c:v>16390</c:v>
                </c:pt>
                <c:pt idx="52">
                  <c:v>17304</c:v>
                </c:pt>
                <c:pt idx="53">
                  <c:v>18590</c:v>
                </c:pt>
                <c:pt idx="54">
                  <c:v>20102</c:v>
                </c:pt>
                <c:pt idx="55">
                  <c:v>21269</c:v>
                </c:pt>
                <c:pt idx="56">
                  <c:v>22654</c:v>
                </c:pt>
                <c:pt idx="57">
                  <c:v>23990</c:v>
                </c:pt>
                <c:pt idx="58">
                  <c:v>23848</c:v>
                </c:pt>
                <c:pt idx="59">
                  <c:v>22928</c:v>
                </c:pt>
                <c:pt idx="60">
                  <c:v>22371</c:v>
                </c:pt>
                <c:pt idx="61">
                  <c:v>22279</c:v>
                </c:pt>
                <c:pt idx="62">
                  <c:v>21990</c:v>
                </c:pt>
                <c:pt idx="63">
                  <c:v>21044</c:v>
                </c:pt>
                <c:pt idx="64">
                  <c:v>20633</c:v>
                </c:pt>
                <c:pt idx="65">
                  <c:v>20364</c:v>
                </c:pt>
                <c:pt idx="66">
                  <c:v>19547</c:v>
                </c:pt>
                <c:pt idx="67">
                  <c:v>18093</c:v>
                </c:pt>
                <c:pt idx="68">
                  <c:v>16799</c:v>
                </c:pt>
                <c:pt idx="69">
                  <c:v>17240</c:v>
                </c:pt>
                <c:pt idx="70">
                  <c:v>17375</c:v>
                </c:pt>
                <c:pt idx="71">
                  <c:v>17815</c:v>
                </c:pt>
                <c:pt idx="72">
                  <c:v>17970</c:v>
                </c:pt>
                <c:pt idx="73">
                  <c:v>18593</c:v>
                </c:pt>
                <c:pt idx="74">
                  <c:v>18515</c:v>
                </c:pt>
                <c:pt idx="75">
                  <c:v>18463</c:v>
                </c:pt>
                <c:pt idx="76">
                  <c:v>18577</c:v>
                </c:pt>
                <c:pt idx="77">
                  <c:v>18522</c:v>
                </c:pt>
                <c:pt idx="78">
                  <c:v>17655</c:v>
                </c:pt>
                <c:pt idx="79">
                  <c:v>17441</c:v>
                </c:pt>
                <c:pt idx="80">
                  <c:v>17461</c:v>
                </c:pt>
                <c:pt idx="81">
                  <c:v>17625</c:v>
                </c:pt>
                <c:pt idx="82">
                  <c:v>17708</c:v>
                </c:pt>
                <c:pt idx="83">
                  <c:v>18171</c:v>
                </c:pt>
                <c:pt idx="84">
                  <c:v>18429</c:v>
                </c:pt>
                <c:pt idx="85">
                  <c:v>19133</c:v>
                </c:pt>
                <c:pt idx="86">
                  <c:v>19480</c:v>
                </c:pt>
                <c:pt idx="87">
                  <c:v>19441</c:v>
                </c:pt>
                <c:pt idx="88">
                  <c:v>19439</c:v>
                </c:pt>
                <c:pt idx="89">
                  <c:v>20291</c:v>
                </c:pt>
                <c:pt idx="90">
                  <c:v>20312</c:v>
                </c:pt>
                <c:pt idx="91">
                  <c:v>20470</c:v>
                </c:pt>
                <c:pt idx="92">
                  <c:v>21261</c:v>
                </c:pt>
                <c:pt idx="93">
                  <c:v>22467</c:v>
                </c:pt>
                <c:pt idx="94">
                  <c:v>22632</c:v>
                </c:pt>
                <c:pt idx="95">
                  <c:v>22719</c:v>
                </c:pt>
                <c:pt idx="96">
                  <c:v>23270</c:v>
                </c:pt>
                <c:pt idx="97">
                  <c:v>24218</c:v>
                </c:pt>
                <c:pt idx="98">
                  <c:v>24338</c:v>
                </c:pt>
                <c:pt idx="99">
                  <c:v>24535</c:v>
                </c:pt>
                <c:pt idx="100">
                  <c:v>25146</c:v>
                </c:pt>
                <c:pt idx="101">
                  <c:v>25973</c:v>
                </c:pt>
                <c:pt idx="102">
                  <c:v>26720</c:v>
                </c:pt>
                <c:pt idx="103">
                  <c:v>26627</c:v>
                </c:pt>
                <c:pt idx="104">
                  <c:v>27416</c:v>
                </c:pt>
                <c:pt idx="105">
                  <c:v>27950</c:v>
                </c:pt>
                <c:pt idx="106">
                  <c:v>27710</c:v>
                </c:pt>
                <c:pt idx="107">
                  <c:v>27291</c:v>
                </c:pt>
                <c:pt idx="108">
                  <c:v>27544</c:v>
                </c:pt>
                <c:pt idx="109">
                  <c:v>27943</c:v>
                </c:pt>
                <c:pt idx="110">
                  <c:v>28099</c:v>
                </c:pt>
                <c:pt idx="111">
                  <c:v>28256</c:v>
                </c:pt>
                <c:pt idx="112">
                  <c:v>28678</c:v>
                </c:pt>
                <c:pt idx="113">
                  <c:v>28907</c:v>
                </c:pt>
                <c:pt idx="114">
                  <c:v>29768</c:v>
                </c:pt>
                <c:pt idx="115">
                  <c:v>30657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E11-844C-84BF-047965BFE1FB}"/>
            </c:ext>
          </c:extLst>
        </c:ser>
        <c:ser>
          <c:idx val="2"/>
          <c:order val="2"/>
          <c:tx>
            <c:strRef>
              <c:f>'Ark4'!$D$2</c:f>
              <c:strCache>
                <c:ptCount val="1"/>
                <c:pt idx="0">
                  <c:v>Holiday home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'Ark4'!$D$3:$D$118</c:f>
              <c:numCache>
                <c:formatCode>General</c:formatCode>
                <c:ptCount val="116"/>
                <c:pt idx="0">
                  <c:v>4441</c:v>
                </c:pt>
                <c:pt idx="1">
                  <c:v>4454</c:v>
                </c:pt>
                <c:pt idx="2">
                  <c:v>4250</c:v>
                </c:pt>
                <c:pt idx="3">
                  <c:v>4419</c:v>
                </c:pt>
                <c:pt idx="4">
                  <c:v>4431</c:v>
                </c:pt>
                <c:pt idx="5">
                  <c:v>4494</c:v>
                </c:pt>
                <c:pt idx="6">
                  <c:v>4436</c:v>
                </c:pt>
                <c:pt idx="7">
                  <c:v>4675</c:v>
                </c:pt>
                <c:pt idx="8">
                  <c:v>4733</c:v>
                </c:pt>
                <c:pt idx="9">
                  <c:v>4717</c:v>
                </c:pt>
                <c:pt idx="10">
                  <c:v>4571</c:v>
                </c:pt>
                <c:pt idx="11">
                  <c:v>4692</c:v>
                </c:pt>
                <c:pt idx="12">
                  <c:v>4719</c:v>
                </c:pt>
                <c:pt idx="13">
                  <c:v>4895</c:v>
                </c:pt>
                <c:pt idx="14">
                  <c:v>4735</c:v>
                </c:pt>
                <c:pt idx="15">
                  <c:v>5005</c:v>
                </c:pt>
                <c:pt idx="16">
                  <c:v>5257</c:v>
                </c:pt>
                <c:pt idx="17">
                  <c:v>5308</c:v>
                </c:pt>
                <c:pt idx="18">
                  <c:v>5098</c:v>
                </c:pt>
                <c:pt idx="19">
                  <c:v>5323</c:v>
                </c:pt>
                <c:pt idx="20">
                  <c:v>5671</c:v>
                </c:pt>
                <c:pt idx="21">
                  <c:v>5660</c:v>
                </c:pt>
                <c:pt idx="22">
                  <c:v>5693</c:v>
                </c:pt>
                <c:pt idx="23">
                  <c:v>5858</c:v>
                </c:pt>
                <c:pt idx="24">
                  <c:v>6206</c:v>
                </c:pt>
                <c:pt idx="25">
                  <c:v>6180</c:v>
                </c:pt>
                <c:pt idx="26">
                  <c:v>6290</c:v>
                </c:pt>
                <c:pt idx="27">
                  <c:v>6673</c:v>
                </c:pt>
                <c:pt idx="28">
                  <c:v>6817</c:v>
                </c:pt>
                <c:pt idx="29">
                  <c:v>7031</c:v>
                </c:pt>
                <c:pt idx="30">
                  <c:v>7041</c:v>
                </c:pt>
                <c:pt idx="31">
                  <c:v>6840</c:v>
                </c:pt>
                <c:pt idx="32">
                  <c:v>7275</c:v>
                </c:pt>
                <c:pt idx="33">
                  <c:v>7603</c:v>
                </c:pt>
                <c:pt idx="34">
                  <c:v>7623</c:v>
                </c:pt>
                <c:pt idx="35">
                  <c:v>7794</c:v>
                </c:pt>
                <c:pt idx="36">
                  <c:v>7978</c:v>
                </c:pt>
                <c:pt idx="37">
                  <c:v>8305</c:v>
                </c:pt>
                <c:pt idx="38">
                  <c:v>8263</c:v>
                </c:pt>
                <c:pt idx="39">
                  <c:v>8298</c:v>
                </c:pt>
                <c:pt idx="40">
                  <c:v>8649</c:v>
                </c:pt>
                <c:pt idx="41">
                  <c:v>8988</c:v>
                </c:pt>
                <c:pt idx="42">
                  <c:v>9289</c:v>
                </c:pt>
                <c:pt idx="43">
                  <c:v>9324</c:v>
                </c:pt>
                <c:pt idx="44">
                  <c:v>9601</c:v>
                </c:pt>
                <c:pt idx="45">
                  <c:v>10067</c:v>
                </c:pt>
                <c:pt idx="46">
                  <c:v>10405</c:v>
                </c:pt>
                <c:pt idx="47">
                  <c:v>10583</c:v>
                </c:pt>
                <c:pt idx="48">
                  <c:v>11131</c:v>
                </c:pt>
                <c:pt idx="49">
                  <c:v>11942</c:v>
                </c:pt>
                <c:pt idx="50">
                  <c:v>12642</c:v>
                </c:pt>
                <c:pt idx="51">
                  <c:v>12888</c:v>
                </c:pt>
                <c:pt idx="52">
                  <c:v>13699</c:v>
                </c:pt>
                <c:pt idx="53">
                  <c:v>14524</c:v>
                </c:pt>
                <c:pt idx="54">
                  <c:v>15552</c:v>
                </c:pt>
                <c:pt idx="55">
                  <c:v>16136</c:v>
                </c:pt>
                <c:pt idx="56">
                  <c:v>16217</c:v>
                </c:pt>
                <c:pt idx="57">
                  <c:v>17334</c:v>
                </c:pt>
                <c:pt idx="58">
                  <c:v>17689</c:v>
                </c:pt>
                <c:pt idx="59">
                  <c:v>17831</c:v>
                </c:pt>
                <c:pt idx="60">
                  <c:v>17745</c:v>
                </c:pt>
                <c:pt idx="61">
                  <c:v>18536</c:v>
                </c:pt>
                <c:pt idx="62">
                  <c:v>18257</c:v>
                </c:pt>
                <c:pt idx="63">
                  <c:v>18336</c:v>
                </c:pt>
                <c:pt idx="64">
                  <c:v>18042</c:v>
                </c:pt>
                <c:pt idx="65">
                  <c:v>18290</c:v>
                </c:pt>
                <c:pt idx="66">
                  <c:v>18379</c:v>
                </c:pt>
                <c:pt idx="67">
                  <c:v>16242</c:v>
                </c:pt>
                <c:pt idx="68">
                  <c:v>14824</c:v>
                </c:pt>
                <c:pt idx="69">
                  <c:v>15726</c:v>
                </c:pt>
                <c:pt idx="70">
                  <c:v>15853</c:v>
                </c:pt>
                <c:pt idx="71">
                  <c:v>16030</c:v>
                </c:pt>
                <c:pt idx="72">
                  <c:v>15938</c:v>
                </c:pt>
                <c:pt idx="73">
                  <c:v>16163</c:v>
                </c:pt>
                <c:pt idx="74">
                  <c:v>15825</c:v>
                </c:pt>
                <c:pt idx="75">
                  <c:v>15873</c:v>
                </c:pt>
                <c:pt idx="76">
                  <c:v>15289</c:v>
                </c:pt>
                <c:pt idx="77">
                  <c:v>15263</c:v>
                </c:pt>
                <c:pt idx="78">
                  <c:v>14841</c:v>
                </c:pt>
                <c:pt idx="79">
                  <c:v>14651</c:v>
                </c:pt>
                <c:pt idx="80">
                  <c:v>13899</c:v>
                </c:pt>
                <c:pt idx="81">
                  <c:v>14327</c:v>
                </c:pt>
                <c:pt idx="82">
                  <c:v>14037</c:v>
                </c:pt>
                <c:pt idx="83">
                  <c:v>13564</c:v>
                </c:pt>
                <c:pt idx="84">
                  <c:v>13888</c:v>
                </c:pt>
                <c:pt idx="85">
                  <c:v>14111</c:v>
                </c:pt>
                <c:pt idx="86">
                  <c:v>13834</c:v>
                </c:pt>
                <c:pt idx="87">
                  <c:v>13826</c:v>
                </c:pt>
                <c:pt idx="88">
                  <c:v>13391</c:v>
                </c:pt>
                <c:pt idx="89">
                  <c:v>13750</c:v>
                </c:pt>
                <c:pt idx="90">
                  <c:v>13526</c:v>
                </c:pt>
                <c:pt idx="91">
                  <c:v>13328</c:v>
                </c:pt>
                <c:pt idx="92">
                  <c:v>13604</c:v>
                </c:pt>
                <c:pt idx="93">
                  <c:v>14151</c:v>
                </c:pt>
                <c:pt idx="94">
                  <c:v>13778</c:v>
                </c:pt>
                <c:pt idx="95">
                  <c:v>13454</c:v>
                </c:pt>
                <c:pt idx="96">
                  <c:v>13277</c:v>
                </c:pt>
                <c:pt idx="97">
                  <c:v>14123</c:v>
                </c:pt>
                <c:pt idx="98">
                  <c:v>14091</c:v>
                </c:pt>
                <c:pt idx="99">
                  <c:v>13671</c:v>
                </c:pt>
                <c:pt idx="100">
                  <c:v>13406</c:v>
                </c:pt>
                <c:pt idx="101">
                  <c:v>14606</c:v>
                </c:pt>
                <c:pt idx="102">
                  <c:v>14490</c:v>
                </c:pt>
                <c:pt idx="103">
                  <c:v>14622</c:v>
                </c:pt>
                <c:pt idx="104">
                  <c:v>14658</c:v>
                </c:pt>
                <c:pt idx="105">
                  <c:v>15264</c:v>
                </c:pt>
                <c:pt idx="106">
                  <c:v>15249</c:v>
                </c:pt>
                <c:pt idx="107">
                  <c:v>15027</c:v>
                </c:pt>
                <c:pt idx="108">
                  <c:v>14882</c:v>
                </c:pt>
                <c:pt idx="109">
                  <c:v>15864</c:v>
                </c:pt>
                <c:pt idx="110">
                  <c:v>15716</c:v>
                </c:pt>
                <c:pt idx="111">
                  <c:v>15726</c:v>
                </c:pt>
                <c:pt idx="112">
                  <c:v>15809</c:v>
                </c:pt>
                <c:pt idx="113">
                  <c:v>16426</c:v>
                </c:pt>
                <c:pt idx="114">
                  <c:v>17532</c:v>
                </c:pt>
                <c:pt idx="115">
                  <c:v>17785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E11-844C-84BF-047965BFE1FB}"/>
            </c:ext>
          </c:extLst>
        </c:ser>
        <c:ser>
          <c:idx val="3"/>
          <c:order val="3"/>
          <c:tx>
            <c:strRef>
              <c:f>'Ark4'!$E$2</c:f>
              <c:strCache>
                <c:ptCount val="1"/>
                <c:pt idx="0">
                  <c:v>Aggregate 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'Ark4'!$E$3:$E$118</c:f>
              <c:numCache>
                <c:formatCode>General</c:formatCode>
                <c:ptCount val="116"/>
                <c:pt idx="0">
                  <c:v>4760.666666666667</c:v>
                </c:pt>
                <c:pt idx="1">
                  <c:v>4811</c:v>
                </c:pt>
                <c:pt idx="2">
                  <c:v>4662.333333333333</c:v>
                </c:pt>
                <c:pt idx="3">
                  <c:v>4602.333333333333</c:v>
                </c:pt>
                <c:pt idx="4">
                  <c:v>4528.666666666667</c:v>
                </c:pt>
                <c:pt idx="5">
                  <c:v>4693.666666666667</c:v>
                </c:pt>
                <c:pt idx="6">
                  <c:v>4844.333333333333</c:v>
                </c:pt>
                <c:pt idx="7">
                  <c:v>4861.666666666667</c:v>
                </c:pt>
                <c:pt idx="8">
                  <c:v>4947.333333333333</c:v>
                </c:pt>
                <c:pt idx="9">
                  <c:v>4977.666666666667</c:v>
                </c:pt>
                <c:pt idx="10">
                  <c:v>4920.666666666667</c:v>
                </c:pt>
                <c:pt idx="11">
                  <c:v>4922.333333333333</c:v>
                </c:pt>
                <c:pt idx="12">
                  <c:v>4944</c:v>
                </c:pt>
                <c:pt idx="13">
                  <c:v>5107.333333333333</c:v>
                </c:pt>
                <c:pt idx="14">
                  <c:v>5134</c:v>
                </c:pt>
                <c:pt idx="15">
                  <c:v>5304</c:v>
                </c:pt>
                <c:pt idx="16">
                  <c:v>5464.666666666667</c:v>
                </c:pt>
                <c:pt idx="17">
                  <c:v>5689.333333333333</c:v>
                </c:pt>
                <c:pt idx="18">
                  <c:v>5649.333333333333</c:v>
                </c:pt>
                <c:pt idx="19">
                  <c:v>5766</c:v>
                </c:pt>
                <c:pt idx="20">
                  <c:v>6048.333333333333</c:v>
                </c:pt>
                <c:pt idx="21">
                  <c:v>6210</c:v>
                </c:pt>
                <c:pt idx="22">
                  <c:v>6321</c:v>
                </c:pt>
                <c:pt idx="23">
                  <c:v>6458.666666666667</c:v>
                </c:pt>
                <c:pt idx="24">
                  <c:v>6757.666666666667</c:v>
                </c:pt>
                <c:pt idx="25">
                  <c:v>6943.333333333333</c:v>
                </c:pt>
                <c:pt idx="26">
                  <c:v>7050</c:v>
                </c:pt>
                <c:pt idx="27">
                  <c:v>7263.333333333333</c:v>
                </c:pt>
                <c:pt idx="28">
                  <c:v>7564.666666666667</c:v>
                </c:pt>
                <c:pt idx="29">
                  <c:v>7872.333333333333</c:v>
                </c:pt>
                <c:pt idx="30">
                  <c:v>7939.333333333333</c:v>
                </c:pt>
                <c:pt idx="31">
                  <c:v>7881.333333333333</c:v>
                </c:pt>
                <c:pt idx="32">
                  <c:v>8167.333333333333</c:v>
                </c:pt>
                <c:pt idx="33">
                  <c:v>8508.3333333333339</c:v>
                </c:pt>
                <c:pt idx="34">
                  <c:v>8639</c:v>
                </c:pt>
                <c:pt idx="35">
                  <c:v>8719.3333333333339</c:v>
                </c:pt>
                <c:pt idx="36">
                  <c:v>9037.3333333333339</c:v>
                </c:pt>
                <c:pt idx="37">
                  <c:v>9325.6666666666661</c:v>
                </c:pt>
                <c:pt idx="38">
                  <c:v>9450.3333333333339</c:v>
                </c:pt>
                <c:pt idx="39">
                  <c:v>9378</c:v>
                </c:pt>
                <c:pt idx="40">
                  <c:v>9681</c:v>
                </c:pt>
                <c:pt idx="41">
                  <c:v>10018.333333333334</c:v>
                </c:pt>
                <c:pt idx="42">
                  <c:v>10146</c:v>
                </c:pt>
                <c:pt idx="43">
                  <c:v>10074.333333333334</c:v>
                </c:pt>
                <c:pt idx="44">
                  <c:v>10326</c:v>
                </c:pt>
                <c:pt idx="45">
                  <c:v>10713</c:v>
                </c:pt>
                <c:pt idx="46">
                  <c:v>10940.666666666666</c:v>
                </c:pt>
                <c:pt idx="47">
                  <c:v>11023.666666666666</c:v>
                </c:pt>
                <c:pt idx="48">
                  <c:v>11492.666666666666</c:v>
                </c:pt>
                <c:pt idx="49">
                  <c:v>12072.333333333334</c:v>
                </c:pt>
                <c:pt idx="50">
                  <c:v>12602.666666666666</c:v>
                </c:pt>
                <c:pt idx="51">
                  <c:v>12877.333333333334</c:v>
                </c:pt>
                <c:pt idx="52">
                  <c:v>13587.666666666666</c:v>
                </c:pt>
                <c:pt idx="53">
                  <c:v>14494.333333333334</c:v>
                </c:pt>
                <c:pt idx="54">
                  <c:v>15525.333333333334</c:v>
                </c:pt>
                <c:pt idx="55">
                  <c:v>16299.333333333334</c:v>
                </c:pt>
                <c:pt idx="56">
                  <c:v>17044</c:v>
                </c:pt>
                <c:pt idx="57">
                  <c:v>18107</c:v>
                </c:pt>
                <c:pt idx="58">
                  <c:v>18289.333333333332</c:v>
                </c:pt>
                <c:pt idx="59">
                  <c:v>18055.666666666668</c:v>
                </c:pt>
                <c:pt idx="60">
                  <c:v>17865.333333333332</c:v>
                </c:pt>
                <c:pt idx="61">
                  <c:v>18177</c:v>
                </c:pt>
                <c:pt idx="62">
                  <c:v>17941.666666666668</c:v>
                </c:pt>
                <c:pt idx="63">
                  <c:v>17627.666666666668</c:v>
                </c:pt>
                <c:pt idx="64">
                  <c:v>17355.333333333332</c:v>
                </c:pt>
                <c:pt idx="65">
                  <c:v>17363</c:v>
                </c:pt>
                <c:pt idx="66">
                  <c:v>16964.333333333332</c:v>
                </c:pt>
                <c:pt idx="67">
                  <c:v>15511</c:v>
                </c:pt>
                <c:pt idx="68">
                  <c:v>14375.666666666666</c:v>
                </c:pt>
                <c:pt idx="69">
                  <c:v>14885.333333333334</c:v>
                </c:pt>
                <c:pt idx="70">
                  <c:v>14948.666666666666</c:v>
                </c:pt>
                <c:pt idx="71">
                  <c:v>15193.666666666666</c:v>
                </c:pt>
                <c:pt idx="72">
                  <c:v>15244</c:v>
                </c:pt>
                <c:pt idx="73">
                  <c:v>15619.333333333334</c:v>
                </c:pt>
                <c:pt idx="74">
                  <c:v>15446.666666666666</c:v>
                </c:pt>
                <c:pt idx="75">
                  <c:v>15422</c:v>
                </c:pt>
                <c:pt idx="76">
                  <c:v>15230</c:v>
                </c:pt>
                <c:pt idx="77">
                  <c:v>15199</c:v>
                </c:pt>
                <c:pt idx="78">
                  <c:v>14611.666666666666</c:v>
                </c:pt>
                <c:pt idx="79">
                  <c:v>14412.333333333334</c:v>
                </c:pt>
                <c:pt idx="80">
                  <c:v>14110.666666666666</c:v>
                </c:pt>
                <c:pt idx="81">
                  <c:v>14341.333333333334</c:v>
                </c:pt>
                <c:pt idx="82">
                  <c:v>14276.333333333334</c:v>
                </c:pt>
                <c:pt idx="83">
                  <c:v>14222</c:v>
                </c:pt>
                <c:pt idx="84">
                  <c:v>14452.666666666666</c:v>
                </c:pt>
                <c:pt idx="85">
                  <c:v>14803.666666666666</c:v>
                </c:pt>
                <c:pt idx="86">
                  <c:v>14814</c:v>
                </c:pt>
                <c:pt idx="87">
                  <c:v>14783</c:v>
                </c:pt>
                <c:pt idx="88">
                  <c:v>14643.333333333334</c:v>
                </c:pt>
                <c:pt idx="89">
                  <c:v>15149</c:v>
                </c:pt>
                <c:pt idx="90">
                  <c:v>15051</c:v>
                </c:pt>
                <c:pt idx="91">
                  <c:v>15027.666666666666</c:v>
                </c:pt>
                <c:pt idx="92">
                  <c:v>15543</c:v>
                </c:pt>
                <c:pt idx="93">
                  <c:v>16270</c:v>
                </c:pt>
                <c:pt idx="94">
                  <c:v>16178</c:v>
                </c:pt>
                <c:pt idx="95">
                  <c:v>16066.333333333334</c:v>
                </c:pt>
                <c:pt idx="96">
                  <c:v>16237.666666666666</c:v>
                </c:pt>
                <c:pt idx="97">
                  <c:v>16956.333333333332</c:v>
                </c:pt>
                <c:pt idx="98">
                  <c:v>17033</c:v>
                </c:pt>
                <c:pt idx="99">
                  <c:v>16911.666666666668</c:v>
                </c:pt>
                <c:pt idx="100">
                  <c:v>17066.333333333332</c:v>
                </c:pt>
                <c:pt idx="101">
                  <c:v>17910.333333333332</c:v>
                </c:pt>
                <c:pt idx="102">
                  <c:v>18123.333333333332</c:v>
                </c:pt>
                <c:pt idx="103">
                  <c:v>18142.666666666668</c:v>
                </c:pt>
                <c:pt idx="104">
                  <c:v>18493.666666666668</c:v>
                </c:pt>
                <c:pt idx="105">
                  <c:v>18947.333333333332</c:v>
                </c:pt>
                <c:pt idx="106">
                  <c:v>18885.333333333332</c:v>
                </c:pt>
                <c:pt idx="107">
                  <c:v>18652</c:v>
                </c:pt>
                <c:pt idx="108">
                  <c:v>18681.333333333332</c:v>
                </c:pt>
                <c:pt idx="109">
                  <c:v>19269.666666666668</c:v>
                </c:pt>
                <c:pt idx="110">
                  <c:v>19320</c:v>
                </c:pt>
                <c:pt idx="111">
                  <c:v>19386</c:v>
                </c:pt>
                <c:pt idx="112">
                  <c:v>19537</c:v>
                </c:pt>
                <c:pt idx="113">
                  <c:v>19894.333333333332</c:v>
                </c:pt>
                <c:pt idx="114">
                  <c:v>20677</c:v>
                </c:pt>
                <c:pt idx="115">
                  <c:v>21152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E11-844C-84BF-047965BFE1FB}"/>
            </c:ext>
          </c:extLst>
        </c:ser>
        <c:ser>
          <c:idx val="4"/>
          <c:order val="4"/>
          <c:tx>
            <c:strRef>
              <c:f>'Ark4'!$F$2</c:f>
              <c:strCache>
                <c:ptCount val="1"/>
                <c:pt idx="0">
                  <c:v>Condominium (Aarhus)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'Ark4'!$F$3:$F$118</c:f>
              <c:numCache>
                <c:formatCode>General</c:formatCode>
                <c:ptCount val="116"/>
                <c:pt idx="0">
                  <c:v>7439</c:v>
                </c:pt>
                <c:pt idx="1">
                  <c:v>7347</c:v>
                </c:pt>
                <c:pt idx="2">
                  <c:v>7597</c:v>
                </c:pt>
                <c:pt idx="3">
                  <c:v>7151</c:v>
                </c:pt>
                <c:pt idx="4">
                  <c:v>6413</c:v>
                </c:pt>
                <c:pt idx="5">
                  <c:v>7076</c:v>
                </c:pt>
                <c:pt idx="6">
                  <c:v>7544</c:v>
                </c:pt>
                <c:pt idx="7">
                  <c:v>7326</c:v>
                </c:pt>
                <c:pt idx="8">
                  <c:v>7690</c:v>
                </c:pt>
                <c:pt idx="9">
                  <c:v>7430</c:v>
                </c:pt>
                <c:pt idx="10">
                  <c:v>7680</c:v>
                </c:pt>
                <c:pt idx="11">
                  <c:v>7519</c:v>
                </c:pt>
                <c:pt idx="12">
                  <c:v>7377</c:v>
                </c:pt>
                <c:pt idx="13">
                  <c:v>8073</c:v>
                </c:pt>
                <c:pt idx="14">
                  <c:v>8453</c:v>
                </c:pt>
                <c:pt idx="15">
                  <c:v>8406</c:v>
                </c:pt>
                <c:pt idx="16">
                  <c:v>8620</c:v>
                </c:pt>
                <c:pt idx="17">
                  <c:v>9303</c:v>
                </c:pt>
                <c:pt idx="18">
                  <c:v>9726</c:v>
                </c:pt>
                <c:pt idx="19">
                  <c:v>9648</c:v>
                </c:pt>
                <c:pt idx="20">
                  <c:v>10447</c:v>
                </c:pt>
                <c:pt idx="21">
                  <c:v>10324</c:v>
                </c:pt>
                <c:pt idx="22">
                  <c:v>10941</c:v>
                </c:pt>
                <c:pt idx="23">
                  <c:v>10619</c:v>
                </c:pt>
                <c:pt idx="24">
                  <c:v>11170</c:v>
                </c:pt>
                <c:pt idx="25">
                  <c:v>11693</c:v>
                </c:pt>
                <c:pt idx="26">
                  <c:v>12575</c:v>
                </c:pt>
                <c:pt idx="27">
                  <c:v>11919</c:v>
                </c:pt>
                <c:pt idx="28">
                  <c:v>12018</c:v>
                </c:pt>
                <c:pt idx="29">
                  <c:v>12803</c:v>
                </c:pt>
                <c:pt idx="30">
                  <c:v>12842</c:v>
                </c:pt>
                <c:pt idx="31">
                  <c:v>12931</c:v>
                </c:pt>
                <c:pt idx="32">
                  <c:v>12246</c:v>
                </c:pt>
                <c:pt idx="33">
                  <c:v>13193</c:v>
                </c:pt>
                <c:pt idx="34">
                  <c:v>13760</c:v>
                </c:pt>
                <c:pt idx="35">
                  <c:v>12907</c:v>
                </c:pt>
                <c:pt idx="36">
                  <c:v>13564</c:v>
                </c:pt>
                <c:pt idx="37">
                  <c:v>13978</c:v>
                </c:pt>
                <c:pt idx="38">
                  <c:v>14674</c:v>
                </c:pt>
                <c:pt idx="39">
                  <c:v>13795</c:v>
                </c:pt>
                <c:pt idx="40">
                  <c:v>14068</c:v>
                </c:pt>
                <c:pt idx="41">
                  <c:v>14577</c:v>
                </c:pt>
                <c:pt idx="42">
                  <c:v>14597</c:v>
                </c:pt>
                <c:pt idx="43">
                  <c:v>14419</c:v>
                </c:pt>
                <c:pt idx="44">
                  <c:v>15674</c:v>
                </c:pt>
                <c:pt idx="45">
                  <c:v>16140</c:v>
                </c:pt>
                <c:pt idx="46">
                  <c:v>17148</c:v>
                </c:pt>
                <c:pt idx="47">
                  <c:v>17006</c:v>
                </c:pt>
                <c:pt idx="48">
                  <c:v>17539</c:v>
                </c:pt>
                <c:pt idx="49">
                  <c:v>19602</c:v>
                </c:pt>
                <c:pt idx="50">
                  <c:v>21301</c:v>
                </c:pt>
                <c:pt idx="51">
                  <c:v>22112</c:v>
                </c:pt>
                <c:pt idx="52">
                  <c:v>23067</c:v>
                </c:pt>
                <c:pt idx="53">
                  <c:v>24810</c:v>
                </c:pt>
                <c:pt idx="54">
                  <c:v>27374</c:v>
                </c:pt>
                <c:pt idx="55">
                  <c:v>27924</c:v>
                </c:pt>
                <c:pt idx="56">
                  <c:v>29518</c:v>
                </c:pt>
                <c:pt idx="57">
                  <c:v>30561</c:v>
                </c:pt>
                <c:pt idx="58">
                  <c:v>30509</c:v>
                </c:pt>
                <c:pt idx="59">
                  <c:v>29106</c:v>
                </c:pt>
                <c:pt idx="60">
                  <c:v>28562</c:v>
                </c:pt>
                <c:pt idx="61">
                  <c:v>27789</c:v>
                </c:pt>
                <c:pt idx="62">
                  <c:v>26530</c:v>
                </c:pt>
                <c:pt idx="63">
                  <c:v>25343</c:v>
                </c:pt>
                <c:pt idx="64">
                  <c:v>25221</c:v>
                </c:pt>
                <c:pt idx="65">
                  <c:v>25546</c:v>
                </c:pt>
                <c:pt idx="66">
                  <c:v>24585</c:v>
                </c:pt>
                <c:pt idx="67">
                  <c:v>22132</c:v>
                </c:pt>
                <c:pt idx="68">
                  <c:v>21935</c:v>
                </c:pt>
                <c:pt idx="69">
                  <c:v>23010</c:v>
                </c:pt>
                <c:pt idx="70">
                  <c:v>23440</c:v>
                </c:pt>
                <c:pt idx="71">
                  <c:v>24221</c:v>
                </c:pt>
                <c:pt idx="72">
                  <c:v>25202</c:v>
                </c:pt>
                <c:pt idx="73">
                  <c:v>25322</c:v>
                </c:pt>
                <c:pt idx="74">
                  <c:v>25267</c:v>
                </c:pt>
                <c:pt idx="75">
                  <c:v>25576</c:v>
                </c:pt>
                <c:pt idx="76">
                  <c:v>26148</c:v>
                </c:pt>
                <c:pt idx="77">
                  <c:v>26679</c:v>
                </c:pt>
                <c:pt idx="78">
                  <c:v>25338</c:v>
                </c:pt>
                <c:pt idx="79">
                  <c:v>24881</c:v>
                </c:pt>
                <c:pt idx="80">
                  <c:v>24593</c:v>
                </c:pt>
                <c:pt idx="81">
                  <c:v>24861</c:v>
                </c:pt>
                <c:pt idx="82">
                  <c:v>25372</c:v>
                </c:pt>
                <c:pt idx="83">
                  <c:v>25534</c:v>
                </c:pt>
                <c:pt idx="84">
                  <c:v>26637</c:v>
                </c:pt>
                <c:pt idx="85">
                  <c:v>27035</c:v>
                </c:pt>
                <c:pt idx="86">
                  <c:v>27657</c:v>
                </c:pt>
                <c:pt idx="87">
                  <c:v>26789</c:v>
                </c:pt>
                <c:pt idx="88">
                  <c:v>27223</c:v>
                </c:pt>
                <c:pt idx="89">
                  <c:v>28561</c:v>
                </c:pt>
                <c:pt idx="90">
                  <c:v>28807</c:v>
                </c:pt>
                <c:pt idx="91">
                  <c:v>28242</c:v>
                </c:pt>
                <c:pt idx="92">
                  <c:v>29323</c:v>
                </c:pt>
                <c:pt idx="93">
                  <c:v>30851</c:v>
                </c:pt>
                <c:pt idx="94">
                  <c:v>31410</c:v>
                </c:pt>
                <c:pt idx="95">
                  <c:v>31354</c:v>
                </c:pt>
                <c:pt idx="96">
                  <c:v>32792</c:v>
                </c:pt>
                <c:pt idx="97">
                  <c:v>33697</c:v>
                </c:pt>
                <c:pt idx="98">
                  <c:v>33303</c:v>
                </c:pt>
                <c:pt idx="99">
                  <c:v>33262</c:v>
                </c:pt>
                <c:pt idx="100">
                  <c:v>34555</c:v>
                </c:pt>
                <c:pt idx="101">
                  <c:v>34591</c:v>
                </c:pt>
                <c:pt idx="102">
                  <c:v>35046</c:v>
                </c:pt>
                <c:pt idx="103">
                  <c:v>34909</c:v>
                </c:pt>
                <c:pt idx="104">
                  <c:v>36300</c:v>
                </c:pt>
                <c:pt idx="105">
                  <c:v>35876</c:v>
                </c:pt>
                <c:pt idx="106">
                  <c:v>36630</c:v>
                </c:pt>
                <c:pt idx="107">
                  <c:v>35165</c:v>
                </c:pt>
                <c:pt idx="108">
                  <c:v>35695</c:v>
                </c:pt>
                <c:pt idx="109">
                  <c:v>36348</c:v>
                </c:pt>
                <c:pt idx="110">
                  <c:v>35561</c:v>
                </c:pt>
                <c:pt idx="111">
                  <c:v>36203</c:v>
                </c:pt>
                <c:pt idx="112">
                  <c:v>36878</c:v>
                </c:pt>
                <c:pt idx="113">
                  <c:v>36804</c:v>
                </c:pt>
                <c:pt idx="114">
                  <c:v>38538</c:v>
                </c:pt>
                <c:pt idx="115">
                  <c:v>38574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E11-844C-84BF-047965BFE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65167"/>
        <c:axId val="1537347567"/>
      </c:lineChart>
      <c:catAx>
        <c:axId val="15719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37347567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1537347567"/>
        <c:scaling>
          <c:orientation val="minMax"/>
          <c:max val="40000"/>
          <c:min val="0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719651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'Ark4'!$B$2</c:f>
              <c:strCache>
                <c:ptCount val="1"/>
                <c:pt idx="0">
                  <c:v>Detached/terraced house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'Ark4'!$B$3:$B$118</c:f>
              <c:numCache>
                <c:formatCode>General</c:formatCode>
                <c:ptCount val="116"/>
                <c:pt idx="0">
                  <c:v>4021</c:v>
                </c:pt>
                <c:pt idx="1">
                  <c:v>4129</c:v>
                </c:pt>
                <c:pt idx="2">
                  <c:v>4000</c:v>
                </c:pt>
                <c:pt idx="3">
                  <c:v>3945</c:v>
                </c:pt>
                <c:pt idx="4">
                  <c:v>3851</c:v>
                </c:pt>
                <c:pt idx="5">
                  <c:v>4135</c:v>
                </c:pt>
                <c:pt idx="6">
                  <c:v>4296</c:v>
                </c:pt>
                <c:pt idx="7">
                  <c:v>4301</c:v>
                </c:pt>
                <c:pt idx="8">
                  <c:v>4333</c:v>
                </c:pt>
                <c:pt idx="9">
                  <c:v>4432</c:v>
                </c:pt>
                <c:pt idx="10">
                  <c:v>4443</c:v>
                </c:pt>
                <c:pt idx="11">
                  <c:v>4403</c:v>
                </c:pt>
                <c:pt idx="12">
                  <c:v>4450</c:v>
                </c:pt>
                <c:pt idx="13">
                  <c:v>4593</c:v>
                </c:pt>
                <c:pt idx="14">
                  <c:v>4635</c:v>
                </c:pt>
                <c:pt idx="15">
                  <c:v>4840</c:v>
                </c:pt>
                <c:pt idx="16">
                  <c:v>4946</c:v>
                </c:pt>
                <c:pt idx="17">
                  <c:v>5151</c:v>
                </c:pt>
                <c:pt idx="18">
                  <c:v>5229</c:v>
                </c:pt>
                <c:pt idx="19">
                  <c:v>5344</c:v>
                </c:pt>
                <c:pt idx="20">
                  <c:v>5567</c:v>
                </c:pt>
                <c:pt idx="21">
                  <c:v>5733</c:v>
                </c:pt>
                <c:pt idx="22">
                  <c:v>5806</c:v>
                </c:pt>
                <c:pt idx="23">
                  <c:v>5870</c:v>
                </c:pt>
                <c:pt idx="24">
                  <c:v>6111</c:v>
                </c:pt>
                <c:pt idx="25">
                  <c:v>6313</c:v>
                </c:pt>
                <c:pt idx="26">
                  <c:v>6233</c:v>
                </c:pt>
                <c:pt idx="27">
                  <c:v>6344</c:v>
                </c:pt>
                <c:pt idx="28">
                  <c:v>6616</c:v>
                </c:pt>
                <c:pt idx="29">
                  <c:v>6907</c:v>
                </c:pt>
                <c:pt idx="30">
                  <c:v>6825</c:v>
                </c:pt>
                <c:pt idx="31">
                  <c:v>6846</c:v>
                </c:pt>
                <c:pt idx="32">
                  <c:v>7023</c:v>
                </c:pt>
                <c:pt idx="33">
                  <c:v>7268</c:v>
                </c:pt>
                <c:pt idx="34">
                  <c:v>7348</c:v>
                </c:pt>
                <c:pt idx="35">
                  <c:v>7352</c:v>
                </c:pt>
                <c:pt idx="36">
                  <c:v>7611</c:v>
                </c:pt>
                <c:pt idx="37">
                  <c:v>7771</c:v>
                </c:pt>
                <c:pt idx="38">
                  <c:v>7631</c:v>
                </c:pt>
                <c:pt idx="39">
                  <c:v>7550</c:v>
                </c:pt>
                <c:pt idx="40">
                  <c:v>7869</c:v>
                </c:pt>
                <c:pt idx="41">
                  <c:v>7990</c:v>
                </c:pt>
                <c:pt idx="42">
                  <c:v>7956</c:v>
                </c:pt>
                <c:pt idx="43">
                  <c:v>7794</c:v>
                </c:pt>
                <c:pt idx="44">
                  <c:v>7886</c:v>
                </c:pt>
                <c:pt idx="45">
                  <c:v>8320</c:v>
                </c:pt>
                <c:pt idx="46">
                  <c:v>8367</c:v>
                </c:pt>
                <c:pt idx="47">
                  <c:v>8312</c:v>
                </c:pt>
                <c:pt idx="48">
                  <c:v>8637</c:v>
                </c:pt>
                <c:pt idx="49">
                  <c:v>8911</c:v>
                </c:pt>
                <c:pt idx="50">
                  <c:v>9142</c:v>
                </c:pt>
                <c:pt idx="51">
                  <c:v>9354</c:v>
                </c:pt>
                <c:pt idx="52">
                  <c:v>9760</c:v>
                </c:pt>
                <c:pt idx="53">
                  <c:v>10369</c:v>
                </c:pt>
                <c:pt idx="54">
                  <c:v>10922</c:v>
                </c:pt>
                <c:pt idx="55">
                  <c:v>11493</c:v>
                </c:pt>
                <c:pt idx="56">
                  <c:v>12261</c:v>
                </c:pt>
                <c:pt idx="57">
                  <c:v>12997</c:v>
                </c:pt>
                <c:pt idx="58">
                  <c:v>13331</c:v>
                </c:pt>
                <c:pt idx="59">
                  <c:v>13408</c:v>
                </c:pt>
                <c:pt idx="60">
                  <c:v>13480</c:v>
                </c:pt>
                <c:pt idx="61">
                  <c:v>13716</c:v>
                </c:pt>
                <c:pt idx="62">
                  <c:v>13578</c:v>
                </c:pt>
                <c:pt idx="63">
                  <c:v>13503</c:v>
                </c:pt>
                <c:pt idx="64">
                  <c:v>13391</c:v>
                </c:pt>
                <c:pt idx="65">
                  <c:v>13435</c:v>
                </c:pt>
                <c:pt idx="66">
                  <c:v>12967</c:v>
                </c:pt>
                <c:pt idx="67">
                  <c:v>12198</c:v>
                </c:pt>
                <c:pt idx="68">
                  <c:v>11504</c:v>
                </c:pt>
                <c:pt idx="69">
                  <c:v>11690</c:v>
                </c:pt>
                <c:pt idx="70">
                  <c:v>11618</c:v>
                </c:pt>
                <c:pt idx="71">
                  <c:v>11736</c:v>
                </c:pt>
                <c:pt idx="72">
                  <c:v>11824</c:v>
                </c:pt>
                <c:pt idx="73">
                  <c:v>12102</c:v>
                </c:pt>
                <c:pt idx="74">
                  <c:v>12000</c:v>
                </c:pt>
                <c:pt idx="75">
                  <c:v>11930</c:v>
                </c:pt>
                <c:pt idx="76">
                  <c:v>11824</c:v>
                </c:pt>
                <c:pt idx="77">
                  <c:v>11812</c:v>
                </c:pt>
                <c:pt idx="78">
                  <c:v>11339</c:v>
                </c:pt>
                <c:pt idx="79">
                  <c:v>11145</c:v>
                </c:pt>
                <c:pt idx="80">
                  <c:v>10972</c:v>
                </c:pt>
                <c:pt idx="81">
                  <c:v>11072</c:v>
                </c:pt>
                <c:pt idx="82">
                  <c:v>11084</c:v>
                </c:pt>
                <c:pt idx="83">
                  <c:v>10931</c:v>
                </c:pt>
                <c:pt idx="84">
                  <c:v>11041</c:v>
                </c:pt>
                <c:pt idx="85">
                  <c:v>11167</c:v>
                </c:pt>
                <c:pt idx="86">
                  <c:v>11128</c:v>
                </c:pt>
                <c:pt idx="87">
                  <c:v>11082</c:v>
                </c:pt>
                <c:pt idx="88">
                  <c:v>11100</c:v>
                </c:pt>
                <c:pt idx="89">
                  <c:v>11406</c:v>
                </c:pt>
                <c:pt idx="90">
                  <c:v>11315</c:v>
                </c:pt>
                <c:pt idx="91">
                  <c:v>11285</c:v>
                </c:pt>
                <c:pt idx="92">
                  <c:v>11764</c:v>
                </c:pt>
                <c:pt idx="93">
                  <c:v>12192</c:v>
                </c:pt>
                <c:pt idx="94">
                  <c:v>12124</c:v>
                </c:pt>
                <c:pt idx="95">
                  <c:v>12026</c:v>
                </c:pt>
                <c:pt idx="96">
                  <c:v>12166</c:v>
                </c:pt>
                <c:pt idx="97">
                  <c:v>12528</c:v>
                </c:pt>
                <c:pt idx="98">
                  <c:v>12670</c:v>
                </c:pt>
                <c:pt idx="99">
                  <c:v>12529</c:v>
                </c:pt>
                <c:pt idx="100">
                  <c:v>12647</c:v>
                </c:pt>
                <c:pt idx="101">
                  <c:v>13152</c:v>
                </c:pt>
                <c:pt idx="102">
                  <c:v>13160</c:v>
                </c:pt>
                <c:pt idx="103">
                  <c:v>13179</c:v>
                </c:pt>
                <c:pt idx="104">
                  <c:v>13407</c:v>
                </c:pt>
                <c:pt idx="105">
                  <c:v>13628</c:v>
                </c:pt>
                <c:pt idx="106">
                  <c:v>13697</c:v>
                </c:pt>
                <c:pt idx="107">
                  <c:v>13638</c:v>
                </c:pt>
                <c:pt idx="108">
                  <c:v>13618</c:v>
                </c:pt>
                <c:pt idx="109">
                  <c:v>14002</c:v>
                </c:pt>
                <c:pt idx="110">
                  <c:v>14145</c:v>
                </c:pt>
                <c:pt idx="111">
                  <c:v>14176</c:v>
                </c:pt>
                <c:pt idx="112">
                  <c:v>14124</c:v>
                </c:pt>
                <c:pt idx="113">
                  <c:v>14350</c:v>
                </c:pt>
                <c:pt idx="114">
                  <c:v>14731</c:v>
                </c:pt>
                <c:pt idx="115">
                  <c:v>15014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6-2A44-BE7A-F2B196504A33}"/>
            </c:ext>
          </c:extLst>
        </c:ser>
        <c:ser>
          <c:idx val="1"/>
          <c:order val="1"/>
          <c:tx>
            <c:strRef>
              <c:f>'Ark4'!$C$2</c:f>
              <c:strCache>
                <c:ptCount val="1"/>
                <c:pt idx="0">
                  <c:v>Condominium 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'Ark4'!$C$3:$C$118</c:f>
              <c:numCache>
                <c:formatCode>General</c:formatCode>
                <c:ptCount val="116"/>
                <c:pt idx="0">
                  <c:v>5820</c:v>
                </c:pt>
                <c:pt idx="1">
                  <c:v>5850</c:v>
                </c:pt>
                <c:pt idx="2">
                  <c:v>5737</c:v>
                </c:pt>
                <c:pt idx="3">
                  <c:v>5443</c:v>
                </c:pt>
                <c:pt idx="4">
                  <c:v>5304</c:v>
                </c:pt>
                <c:pt idx="5">
                  <c:v>5452</c:v>
                </c:pt>
                <c:pt idx="6">
                  <c:v>5801</c:v>
                </c:pt>
                <c:pt idx="7">
                  <c:v>5609</c:v>
                </c:pt>
                <c:pt idx="8">
                  <c:v>5776</c:v>
                </c:pt>
                <c:pt idx="9">
                  <c:v>5784</c:v>
                </c:pt>
                <c:pt idx="10">
                  <c:v>5748</c:v>
                </c:pt>
                <c:pt idx="11">
                  <c:v>5672</c:v>
                </c:pt>
                <c:pt idx="12">
                  <c:v>5663</c:v>
                </c:pt>
                <c:pt idx="13">
                  <c:v>5834</c:v>
                </c:pt>
                <c:pt idx="14">
                  <c:v>6032</c:v>
                </c:pt>
                <c:pt idx="15">
                  <c:v>6067</c:v>
                </c:pt>
                <c:pt idx="16">
                  <c:v>6191</c:v>
                </c:pt>
                <c:pt idx="17">
                  <c:v>6609</c:v>
                </c:pt>
                <c:pt idx="18">
                  <c:v>6621</c:v>
                </c:pt>
                <c:pt idx="19">
                  <c:v>6631</c:v>
                </c:pt>
                <c:pt idx="20">
                  <c:v>6907</c:v>
                </c:pt>
                <c:pt idx="21">
                  <c:v>7237</c:v>
                </c:pt>
                <c:pt idx="22">
                  <c:v>7464</c:v>
                </c:pt>
                <c:pt idx="23">
                  <c:v>7648</c:v>
                </c:pt>
                <c:pt idx="24">
                  <c:v>7956</c:v>
                </c:pt>
                <c:pt idx="25">
                  <c:v>8337</c:v>
                </c:pt>
                <c:pt idx="26">
                  <c:v>8627</c:v>
                </c:pt>
                <c:pt idx="27">
                  <c:v>8773</c:v>
                </c:pt>
                <c:pt idx="28">
                  <c:v>9261</c:v>
                </c:pt>
                <c:pt idx="29">
                  <c:v>9679</c:v>
                </c:pt>
                <c:pt idx="30">
                  <c:v>9952</c:v>
                </c:pt>
                <c:pt idx="31">
                  <c:v>9958</c:v>
                </c:pt>
                <c:pt idx="32">
                  <c:v>10204</c:v>
                </c:pt>
                <c:pt idx="33">
                  <c:v>10654</c:v>
                </c:pt>
                <c:pt idx="34">
                  <c:v>10946</c:v>
                </c:pt>
                <c:pt idx="35">
                  <c:v>11012</c:v>
                </c:pt>
                <c:pt idx="36">
                  <c:v>11523</c:v>
                </c:pt>
                <c:pt idx="37">
                  <c:v>11901</c:v>
                </c:pt>
                <c:pt idx="38">
                  <c:v>12457</c:v>
                </c:pt>
                <c:pt idx="39">
                  <c:v>12286</c:v>
                </c:pt>
                <c:pt idx="40">
                  <c:v>12525</c:v>
                </c:pt>
                <c:pt idx="41">
                  <c:v>13077</c:v>
                </c:pt>
                <c:pt idx="42">
                  <c:v>13193</c:v>
                </c:pt>
                <c:pt idx="43">
                  <c:v>13105</c:v>
                </c:pt>
                <c:pt idx="44">
                  <c:v>13491</c:v>
                </c:pt>
                <c:pt idx="45">
                  <c:v>13752</c:v>
                </c:pt>
                <c:pt idx="46">
                  <c:v>14050</c:v>
                </c:pt>
                <c:pt idx="47">
                  <c:v>14176</c:v>
                </c:pt>
                <c:pt idx="48">
                  <c:v>14710</c:v>
                </c:pt>
                <c:pt idx="49">
                  <c:v>15364</c:v>
                </c:pt>
                <c:pt idx="50">
                  <c:v>16024</c:v>
                </c:pt>
                <c:pt idx="51">
                  <c:v>16390</c:v>
                </c:pt>
                <c:pt idx="52">
                  <c:v>17304</c:v>
                </c:pt>
                <c:pt idx="53">
                  <c:v>18590</c:v>
                </c:pt>
                <c:pt idx="54">
                  <c:v>20102</c:v>
                </c:pt>
                <c:pt idx="55">
                  <c:v>21269</c:v>
                </c:pt>
                <c:pt idx="56">
                  <c:v>22654</c:v>
                </c:pt>
                <c:pt idx="57">
                  <c:v>23990</c:v>
                </c:pt>
                <c:pt idx="58">
                  <c:v>23848</c:v>
                </c:pt>
                <c:pt idx="59">
                  <c:v>22928</c:v>
                </c:pt>
                <c:pt idx="60">
                  <c:v>22371</c:v>
                </c:pt>
                <c:pt idx="61">
                  <c:v>22279</c:v>
                </c:pt>
                <c:pt idx="62">
                  <c:v>21990</c:v>
                </c:pt>
                <c:pt idx="63">
                  <c:v>21044</c:v>
                </c:pt>
                <c:pt idx="64">
                  <c:v>20633</c:v>
                </c:pt>
                <c:pt idx="65">
                  <c:v>20364</c:v>
                </c:pt>
                <c:pt idx="66">
                  <c:v>19547</c:v>
                </c:pt>
                <c:pt idx="67">
                  <c:v>18093</c:v>
                </c:pt>
                <c:pt idx="68">
                  <c:v>16799</c:v>
                </c:pt>
                <c:pt idx="69">
                  <c:v>17240</c:v>
                </c:pt>
                <c:pt idx="70">
                  <c:v>17375</c:v>
                </c:pt>
                <c:pt idx="71">
                  <c:v>17815</c:v>
                </c:pt>
                <c:pt idx="72">
                  <c:v>17970</c:v>
                </c:pt>
                <c:pt idx="73">
                  <c:v>18593</c:v>
                </c:pt>
                <c:pt idx="74">
                  <c:v>18515</c:v>
                </c:pt>
                <c:pt idx="75">
                  <c:v>18463</c:v>
                </c:pt>
                <c:pt idx="76">
                  <c:v>18577</c:v>
                </c:pt>
                <c:pt idx="77">
                  <c:v>18522</c:v>
                </c:pt>
                <c:pt idx="78">
                  <c:v>17655</c:v>
                </c:pt>
                <c:pt idx="79">
                  <c:v>17441</c:v>
                </c:pt>
                <c:pt idx="80">
                  <c:v>17461</c:v>
                </c:pt>
                <c:pt idx="81">
                  <c:v>17625</c:v>
                </c:pt>
                <c:pt idx="82">
                  <c:v>17708</c:v>
                </c:pt>
                <c:pt idx="83">
                  <c:v>18171</c:v>
                </c:pt>
                <c:pt idx="84">
                  <c:v>18429</c:v>
                </c:pt>
                <c:pt idx="85">
                  <c:v>19133</c:v>
                </c:pt>
                <c:pt idx="86">
                  <c:v>19480</c:v>
                </c:pt>
                <c:pt idx="87">
                  <c:v>19441</c:v>
                </c:pt>
                <c:pt idx="88">
                  <c:v>19439</c:v>
                </c:pt>
                <c:pt idx="89">
                  <c:v>20291</c:v>
                </c:pt>
                <c:pt idx="90">
                  <c:v>20312</c:v>
                </c:pt>
                <c:pt idx="91">
                  <c:v>20470</c:v>
                </c:pt>
                <c:pt idx="92">
                  <c:v>21261</c:v>
                </c:pt>
                <c:pt idx="93">
                  <c:v>22467</c:v>
                </c:pt>
                <c:pt idx="94">
                  <c:v>22632</c:v>
                </c:pt>
                <c:pt idx="95">
                  <c:v>22719</c:v>
                </c:pt>
                <c:pt idx="96">
                  <c:v>23270</c:v>
                </c:pt>
                <c:pt idx="97">
                  <c:v>24218</c:v>
                </c:pt>
                <c:pt idx="98">
                  <c:v>24338</c:v>
                </c:pt>
                <c:pt idx="99">
                  <c:v>24535</c:v>
                </c:pt>
                <c:pt idx="100">
                  <c:v>25146</c:v>
                </c:pt>
                <c:pt idx="101">
                  <c:v>25973</c:v>
                </c:pt>
                <c:pt idx="102">
                  <c:v>26720</c:v>
                </c:pt>
                <c:pt idx="103">
                  <c:v>26627</c:v>
                </c:pt>
                <c:pt idx="104">
                  <c:v>27416</c:v>
                </c:pt>
                <c:pt idx="105">
                  <c:v>27950</c:v>
                </c:pt>
                <c:pt idx="106">
                  <c:v>27710</c:v>
                </c:pt>
                <c:pt idx="107">
                  <c:v>27291</c:v>
                </c:pt>
                <c:pt idx="108">
                  <c:v>27544</c:v>
                </c:pt>
                <c:pt idx="109">
                  <c:v>27943</c:v>
                </c:pt>
                <c:pt idx="110">
                  <c:v>28099</c:v>
                </c:pt>
                <c:pt idx="111">
                  <c:v>28256</c:v>
                </c:pt>
                <c:pt idx="112">
                  <c:v>28678</c:v>
                </c:pt>
                <c:pt idx="113">
                  <c:v>28907</c:v>
                </c:pt>
                <c:pt idx="114">
                  <c:v>29768</c:v>
                </c:pt>
                <c:pt idx="115">
                  <c:v>30657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6-2A44-BE7A-F2B196504A33}"/>
            </c:ext>
          </c:extLst>
        </c:ser>
        <c:ser>
          <c:idx val="2"/>
          <c:order val="2"/>
          <c:tx>
            <c:strRef>
              <c:f>'Ark4'!$D$2</c:f>
              <c:strCache>
                <c:ptCount val="1"/>
                <c:pt idx="0">
                  <c:v>Holiday home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'Ark4'!$D$3:$D$118</c:f>
              <c:numCache>
                <c:formatCode>General</c:formatCode>
                <c:ptCount val="116"/>
                <c:pt idx="0">
                  <c:v>4441</c:v>
                </c:pt>
                <c:pt idx="1">
                  <c:v>4454</c:v>
                </c:pt>
                <c:pt idx="2">
                  <c:v>4250</c:v>
                </c:pt>
                <c:pt idx="3">
                  <c:v>4419</c:v>
                </c:pt>
                <c:pt idx="4">
                  <c:v>4431</c:v>
                </c:pt>
                <c:pt idx="5">
                  <c:v>4494</c:v>
                </c:pt>
                <c:pt idx="6">
                  <c:v>4436</c:v>
                </c:pt>
                <c:pt idx="7">
                  <c:v>4675</c:v>
                </c:pt>
                <c:pt idx="8">
                  <c:v>4733</c:v>
                </c:pt>
                <c:pt idx="9">
                  <c:v>4717</c:v>
                </c:pt>
                <c:pt idx="10">
                  <c:v>4571</c:v>
                </c:pt>
                <c:pt idx="11">
                  <c:v>4692</c:v>
                </c:pt>
                <c:pt idx="12">
                  <c:v>4719</c:v>
                </c:pt>
                <c:pt idx="13">
                  <c:v>4895</c:v>
                </c:pt>
                <c:pt idx="14">
                  <c:v>4735</c:v>
                </c:pt>
                <c:pt idx="15">
                  <c:v>5005</c:v>
                </c:pt>
                <c:pt idx="16">
                  <c:v>5257</c:v>
                </c:pt>
                <c:pt idx="17">
                  <c:v>5308</c:v>
                </c:pt>
                <c:pt idx="18">
                  <c:v>5098</c:v>
                </c:pt>
                <c:pt idx="19">
                  <c:v>5323</c:v>
                </c:pt>
                <c:pt idx="20">
                  <c:v>5671</c:v>
                </c:pt>
                <c:pt idx="21">
                  <c:v>5660</c:v>
                </c:pt>
                <c:pt idx="22">
                  <c:v>5693</c:v>
                </c:pt>
                <c:pt idx="23">
                  <c:v>5858</c:v>
                </c:pt>
                <c:pt idx="24">
                  <c:v>6206</c:v>
                </c:pt>
                <c:pt idx="25">
                  <c:v>6180</c:v>
                </c:pt>
                <c:pt idx="26">
                  <c:v>6290</c:v>
                </c:pt>
                <c:pt idx="27">
                  <c:v>6673</c:v>
                </c:pt>
                <c:pt idx="28">
                  <c:v>6817</c:v>
                </c:pt>
                <c:pt idx="29">
                  <c:v>7031</c:v>
                </c:pt>
                <c:pt idx="30">
                  <c:v>7041</c:v>
                </c:pt>
                <c:pt idx="31">
                  <c:v>6840</c:v>
                </c:pt>
                <c:pt idx="32">
                  <c:v>7275</c:v>
                </c:pt>
                <c:pt idx="33">
                  <c:v>7603</c:v>
                </c:pt>
                <c:pt idx="34">
                  <c:v>7623</c:v>
                </c:pt>
                <c:pt idx="35">
                  <c:v>7794</c:v>
                </c:pt>
                <c:pt idx="36">
                  <c:v>7978</c:v>
                </c:pt>
                <c:pt idx="37">
                  <c:v>8305</c:v>
                </c:pt>
                <c:pt idx="38">
                  <c:v>8263</c:v>
                </c:pt>
                <c:pt idx="39">
                  <c:v>8298</c:v>
                </c:pt>
                <c:pt idx="40">
                  <c:v>8649</c:v>
                </c:pt>
                <c:pt idx="41">
                  <c:v>8988</c:v>
                </c:pt>
                <c:pt idx="42">
                  <c:v>9289</c:v>
                </c:pt>
                <c:pt idx="43">
                  <c:v>9324</c:v>
                </c:pt>
                <c:pt idx="44">
                  <c:v>9601</c:v>
                </c:pt>
                <c:pt idx="45">
                  <c:v>10067</c:v>
                </c:pt>
                <c:pt idx="46">
                  <c:v>10405</c:v>
                </c:pt>
                <c:pt idx="47">
                  <c:v>10583</c:v>
                </c:pt>
                <c:pt idx="48">
                  <c:v>11131</c:v>
                </c:pt>
                <c:pt idx="49">
                  <c:v>11942</c:v>
                </c:pt>
                <c:pt idx="50">
                  <c:v>12642</c:v>
                </c:pt>
                <c:pt idx="51">
                  <c:v>12888</c:v>
                </c:pt>
                <c:pt idx="52">
                  <c:v>13699</c:v>
                </c:pt>
                <c:pt idx="53">
                  <c:v>14524</c:v>
                </c:pt>
                <c:pt idx="54">
                  <c:v>15552</c:v>
                </c:pt>
                <c:pt idx="55">
                  <c:v>16136</c:v>
                </c:pt>
                <c:pt idx="56">
                  <c:v>16217</c:v>
                </c:pt>
                <c:pt idx="57">
                  <c:v>17334</c:v>
                </c:pt>
                <c:pt idx="58">
                  <c:v>17689</c:v>
                </c:pt>
                <c:pt idx="59">
                  <c:v>17831</c:v>
                </c:pt>
                <c:pt idx="60">
                  <c:v>17745</c:v>
                </c:pt>
                <c:pt idx="61">
                  <c:v>18536</c:v>
                </c:pt>
                <c:pt idx="62">
                  <c:v>18257</c:v>
                </c:pt>
                <c:pt idx="63">
                  <c:v>18336</c:v>
                </c:pt>
                <c:pt idx="64">
                  <c:v>18042</c:v>
                </c:pt>
                <c:pt idx="65">
                  <c:v>18290</c:v>
                </c:pt>
                <c:pt idx="66">
                  <c:v>18379</c:v>
                </c:pt>
                <c:pt idx="67">
                  <c:v>16242</c:v>
                </c:pt>
                <c:pt idx="68">
                  <c:v>14824</c:v>
                </c:pt>
                <c:pt idx="69">
                  <c:v>15726</c:v>
                </c:pt>
                <c:pt idx="70">
                  <c:v>15853</c:v>
                </c:pt>
                <c:pt idx="71">
                  <c:v>16030</c:v>
                </c:pt>
                <c:pt idx="72">
                  <c:v>15938</c:v>
                </c:pt>
                <c:pt idx="73">
                  <c:v>16163</c:v>
                </c:pt>
                <c:pt idx="74">
                  <c:v>15825</c:v>
                </c:pt>
                <c:pt idx="75">
                  <c:v>15873</c:v>
                </c:pt>
                <c:pt idx="76">
                  <c:v>15289</c:v>
                </c:pt>
                <c:pt idx="77">
                  <c:v>15263</c:v>
                </c:pt>
                <c:pt idx="78">
                  <c:v>14841</c:v>
                </c:pt>
                <c:pt idx="79">
                  <c:v>14651</c:v>
                </c:pt>
                <c:pt idx="80">
                  <c:v>13899</c:v>
                </c:pt>
                <c:pt idx="81">
                  <c:v>14327</c:v>
                </c:pt>
                <c:pt idx="82">
                  <c:v>14037</c:v>
                </c:pt>
                <c:pt idx="83">
                  <c:v>13564</c:v>
                </c:pt>
                <c:pt idx="84">
                  <c:v>13888</c:v>
                </c:pt>
                <c:pt idx="85">
                  <c:v>14111</c:v>
                </c:pt>
                <c:pt idx="86">
                  <c:v>13834</c:v>
                </c:pt>
                <c:pt idx="87">
                  <c:v>13826</c:v>
                </c:pt>
                <c:pt idx="88">
                  <c:v>13391</c:v>
                </c:pt>
                <c:pt idx="89">
                  <c:v>13750</c:v>
                </c:pt>
                <c:pt idx="90">
                  <c:v>13526</c:v>
                </c:pt>
                <c:pt idx="91">
                  <c:v>13328</c:v>
                </c:pt>
                <c:pt idx="92">
                  <c:v>13604</c:v>
                </c:pt>
                <c:pt idx="93">
                  <c:v>14151</c:v>
                </c:pt>
                <c:pt idx="94">
                  <c:v>13778</c:v>
                </c:pt>
                <c:pt idx="95">
                  <c:v>13454</c:v>
                </c:pt>
                <c:pt idx="96">
                  <c:v>13277</c:v>
                </c:pt>
                <c:pt idx="97">
                  <c:v>14123</c:v>
                </c:pt>
                <c:pt idx="98">
                  <c:v>14091</c:v>
                </c:pt>
                <c:pt idx="99">
                  <c:v>13671</c:v>
                </c:pt>
                <c:pt idx="100">
                  <c:v>13406</c:v>
                </c:pt>
                <c:pt idx="101">
                  <c:v>14606</c:v>
                </c:pt>
                <c:pt idx="102">
                  <c:v>14490</c:v>
                </c:pt>
                <c:pt idx="103">
                  <c:v>14622</c:v>
                </c:pt>
                <c:pt idx="104">
                  <c:v>14658</c:v>
                </c:pt>
                <c:pt idx="105">
                  <c:v>15264</c:v>
                </c:pt>
                <c:pt idx="106">
                  <c:v>15249</c:v>
                </c:pt>
                <c:pt idx="107">
                  <c:v>15027</c:v>
                </c:pt>
                <c:pt idx="108">
                  <c:v>14882</c:v>
                </c:pt>
                <c:pt idx="109">
                  <c:v>15864</c:v>
                </c:pt>
                <c:pt idx="110">
                  <c:v>15716</c:v>
                </c:pt>
                <c:pt idx="111">
                  <c:v>15726</c:v>
                </c:pt>
                <c:pt idx="112">
                  <c:v>15809</c:v>
                </c:pt>
                <c:pt idx="113">
                  <c:v>16426</c:v>
                </c:pt>
                <c:pt idx="114">
                  <c:v>17532</c:v>
                </c:pt>
                <c:pt idx="115">
                  <c:v>17785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6-2A44-BE7A-F2B196504A33}"/>
            </c:ext>
          </c:extLst>
        </c:ser>
        <c:ser>
          <c:idx val="4"/>
          <c:order val="3"/>
          <c:tx>
            <c:strRef>
              <c:f>'Ark4'!$F$2</c:f>
              <c:strCache>
                <c:ptCount val="1"/>
                <c:pt idx="0">
                  <c:v>Condominium (Aarhus)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'Ark4'!$F$3:$F$118</c:f>
              <c:numCache>
                <c:formatCode>General</c:formatCode>
                <c:ptCount val="116"/>
                <c:pt idx="0">
                  <c:v>7439</c:v>
                </c:pt>
                <c:pt idx="1">
                  <c:v>7347</c:v>
                </c:pt>
                <c:pt idx="2">
                  <c:v>7597</c:v>
                </c:pt>
                <c:pt idx="3">
                  <c:v>7151</c:v>
                </c:pt>
                <c:pt idx="4">
                  <c:v>6413</c:v>
                </c:pt>
                <c:pt idx="5">
                  <c:v>7076</c:v>
                </c:pt>
                <c:pt idx="6">
                  <c:v>7544</c:v>
                </c:pt>
                <c:pt idx="7">
                  <c:v>7326</c:v>
                </c:pt>
                <c:pt idx="8">
                  <c:v>7690</c:v>
                </c:pt>
                <c:pt idx="9">
                  <c:v>7430</c:v>
                </c:pt>
                <c:pt idx="10">
                  <c:v>7680</c:v>
                </c:pt>
                <c:pt idx="11">
                  <c:v>7519</c:v>
                </c:pt>
                <c:pt idx="12">
                  <c:v>7377</c:v>
                </c:pt>
                <c:pt idx="13">
                  <c:v>8073</c:v>
                </c:pt>
                <c:pt idx="14">
                  <c:v>8453</c:v>
                </c:pt>
                <c:pt idx="15">
                  <c:v>8406</c:v>
                </c:pt>
                <c:pt idx="16">
                  <c:v>8620</c:v>
                </c:pt>
                <c:pt idx="17">
                  <c:v>9303</c:v>
                </c:pt>
                <c:pt idx="18">
                  <c:v>9726</c:v>
                </c:pt>
                <c:pt idx="19">
                  <c:v>9648</c:v>
                </c:pt>
                <c:pt idx="20">
                  <c:v>10447</c:v>
                </c:pt>
                <c:pt idx="21">
                  <c:v>10324</c:v>
                </c:pt>
                <c:pt idx="22">
                  <c:v>10941</c:v>
                </c:pt>
                <c:pt idx="23">
                  <c:v>10619</c:v>
                </c:pt>
                <c:pt idx="24">
                  <c:v>11170</c:v>
                </c:pt>
                <c:pt idx="25">
                  <c:v>11693</c:v>
                </c:pt>
                <c:pt idx="26">
                  <c:v>12575</c:v>
                </c:pt>
                <c:pt idx="27">
                  <c:v>11919</c:v>
                </c:pt>
                <c:pt idx="28">
                  <c:v>12018</c:v>
                </c:pt>
                <c:pt idx="29">
                  <c:v>12803</c:v>
                </c:pt>
                <c:pt idx="30">
                  <c:v>12842</c:v>
                </c:pt>
                <c:pt idx="31">
                  <c:v>12931</c:v>
                </c:pt>
                <c:pt idx="32">
                  <c:v>12246</c:v>
                </c:pt>
                <c:pt idx="33">
                  <c:v>13193</c:v>
                </c:pt>
                <c:pt idx="34">
                  <c:v>13760</c:v>
                </c:pt>
                <c:pt idx="35">
                  <c:v>12907</c:v>
                </c:pt>
                <c:pt idx="36">
                  <c:v>13564</c:v>
                </c:pt>
                <c:pt idx="37">
                  <c:v>13978</c:v>
                </c:pt>
                <c:pt idx="38">
                  <c:v>14674</c:v>
                </c:pt>
                <c:pt idx="39">
                  <c:v>13795</c:v>
                </c:pt>
                <c:pt idx="40">
                  <c:v>14068</c:v>
                </c:pt>
                <c:pt idx="41">
                  <c:v>14577</c:v>
                </c:pt>
                <c:pt idx="42">
                  <c:v>14597</c:v>
                </c:pt>
                <c:pt idx="43">
                  <c:v>14419</c:v>
                </c:pt>
                <c:pt idx="44">
                  <c:v>15674</c:v>
                </c:pt>
                <c:pt idx="45">
                  <c:v>16140</c:v>
                </c:pt>
                <c:pt idx="46">
                  <c:v>17148</c:v>
                </c:pt>
                <c:pt idx="47">
                  <c:v>17006</c:v>
                </c:pt>
                <c:pt idx="48">
                  <c:v>17539</c:v>
                </c:pt>
                <c:pt idx="49">
                  <c:v>19602</c:v>
                </c:pt>
                <c:pt idx="50">
                  <c:v>21301</c:v>
                </c:pt>
                <c:pt idx="51">
                  <c:v>22112</c:v>
                </c:pt>
                <c:pt idx="52">
                  <c:v>23067</c:v>
                </c:pt>
                <c:pt idx="53">
                  <c:v>24810</c:v>
                </c:pt>
                <c:pt idx="54">
                  <c:v>27374</c:v>
                </c:pt>
                <c:pt idx="55">
                  <c:v>27924</c:v>
                </c:pt>
                <c:pt idx="56">
                  <c:v>29518</c:v>
                </c:pt>
                <c:pt idx="57">
                  <c:v>30561</c:v>
                </c:pt>
                <c:pt idx="58">
                  <c:v>30509</c:v>
                </c:pt>
                <c:pt idx="59">
                  <c:v>29106</c:v>
                </c:pt>
                <c:pt idx="60">
                  <c:v>28562</c:v>
                </c:pt>
                <c:pt idx="61">
                  <c:v>27789</c:v>
                </c:pt>
                <c:pt idx="62">
                  <c:v>26530</c:v>
                </c:pt>
                <c:pt idx="63">
                  <c:v>25343</c:v>
                </c:pt>
                <c:pt idx="64">
                  <c:v>25221</c:v>
                </c:pt>
                <c:pt idx="65">
                  <c:v>25546</c:v>
                </c:pt>
                <c:pt idx="66">
                  <c:v>24585</c:v>
                </c:pt>
                <c:pt idx="67">
                  <c:v>22132</c:v>
                </c:pt>
                <c:pt idx="68">
                  <c:v>21935</c:v>
                </c:pt>
                <c:pt idx="69">
                  <c:v>23010</c:v>
                </c:pt>
                <c:pt idx="70">
                  <c:v>23440</c:v>
                </c:pt>
                <c:pt idx="71">
                  <c:v>24221</c:v>
                </c:pt>
                <c:pt idx="72">
                  <c:v>25202</c:v>
                </c:pt>
                <c:pt idx="73">
                  <c:v>25322</c:v>
                </c:pt>
                <c:pt idx="74">
                  <c:v>25267</c:v>
                </c:pt>
                <c:pt idx="75">
                  <c:v>25576</c:v>
                </c:pt>
                <c:pt idx="76">
                  <c:v>26148</c:v>
                </c:pt>
                <c:pt idx="77">
                  <c:v>26679</c:v>
                </c:pt>
                <c:pt idx="78">
                  <c:v>25338</c:v>
                </c:pt>
                <c:pt idx="79">
                  <c:v>24881</c:v>
                </c:pt>
                <c:pt idx="80">
                  <c:v>24593</c:v>
                </c:pt>
                <c:pt idx="81">
                  <c:v>24861</c:v>
                </c:pt>
                <c:pt idx="82">
                  <c:v>25372</c:v>
                </c:pt>
                <c:pt idx="83">
                  <c:v>25534</c:v>
                </c:pt>
                <c:pt idx="84">
                  <c:v>26637</c:v>
                </c:pt>
                <c:pt idx="85">
                  <c:v>27035</c:v>
                </c:pt>
                <c:pt idx="86">
                  <c:v>27657</c:v>
                </c:pt>
                <c:pt idx="87">
                  <c:v>26789</c:v>
                </c:pt>
                <c:pt idx="88">
                  <c:v>27223</c:v>
                </c:pt>
                <c:pt idx="89">
                  <c:v>28561</c:v>
                </c:pt>
                <c:pt idx="90">
                  <c:v>28807</c:v>
                </c:pt>
                <c:pt idx="91">
                  <c:v>28242</c:v>
                </c:pt>
                <c:pt idx="92">
                  <c:v>29323</c:v>
                </c:pt>
                <c:pt idx="93">
                  <c:v>30851</c:v>
                </c:pt>
                <c:pt idx="94">
                  <c:v>31410</c:v>
                </c:pt>
                <c:pt idx="95">
                  <c:v>31354</c:v>
                </c:pt>
                <c:pt idx="96">
                  <c:v>32792</c:v>
                </c:pt>
                <c:pt idx="97">
                  <c:v>33697</c:v>
                </c:pt>
                <c:pt idx="98">
                  <c:v>33303</c:v>
                </c:pt>
                <c:pt idx="99">
                  <c:v>33262</c:v>
                </c:pt>
                <c:pt idx="100">
                  <c:v>34555</c:v>
                </c:pt>
                <c:pt idx="101">
                  <c:v>34591</c:v>
                </c:pt>
                <c:pt idx="102">
                  <c:v>35046</c:v>
                </c:pt>
                <c:pt idx="103">
                  <c:v>34909</c:v>
                </c:pt>
                <c:pt idx="104">
                  <c:v>36300</c:v>
                </c:pt>
                <c:pt idx="105">
                  <c:v>35876</c:v>
                </c:pt>
                <c:pt idx="106">
                  <c:v>36630</c:v>
                </c:pt>
                <c:pt idx="107">
                  <c:v>35165</c:v>
                </c:pt>
                <c:pt idx="108">
                  <c:v>35695</c:v>
                </c:pt>
                <c:pt idx="109">
                  <c:v>36348</c:v>
                </c:pt>
                <c:pt idx="110">
                  <c:v>35561</c:v>
                </c:pt>
                <c:pt idx="111">
                  <c:v>36203</c:v>
                </c:pt>
                <c:pt idx="112">
                  <c:v>36878</c:v>
                </c:pt>
                <c:pt idx="113">
                  <c:v>36804</c:v>
                </c:pt>
                <c:pt idx="114">
                  <c:v>38538</c:v>
                </c:pt>
                <c:pt idx="115">
                  <c:v>38574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6-2A44-BE7A-F2B196504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1976335"/>
        <c:axId val="1523050479"/>
      </c:lineChart>
      <c:catAx>
        <c:axId val="191197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23050479"/>
        <c:crosses val="autoZero"/>
        <c:auto val="1"/>
        <c:lblAlgn val="ctr"/>
        <c:lblOffset val="100"/>
        <c:tickLblSkip val="4"/>
        <c:noMultiLvlLbl val="0"/>
      </c:catAx>
      <c:valAx>
        <c:axId val="1523050479"/>
        <c:scaling>
          <c:orientation val="minMax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1197633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Number of condominiums sold 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'Ark1'!$B$2:$B$69</c:f>
              <c:numCache>
                <c:formatCode>General</c:formatCode>
                <c:ptCount val="68"/>
                <c:pt idx="0">
                  <c:v>203</c:v>
                </c:pt>
                <c:pt idx="1">
                  <c:v>164</c:v>
                </c:pt>
                <c:pt idx="2">
                  <c:v>116</c:v>
                </c:pt>
                <c:pt idx="3">
                  <c:v>133</c:v>
                </c:pt>
                <c:pt idx="4">
                  <c:v>171</c:v>
                </c:pt>
                <c:pt idx="5">
                  <c:v>175</c:v>
                </c:pt>
                <c:pt idx="6">
                  <c:v>227</c:v>
                </c:pt>
                <c:pt idx="7">
                  <c:v>156</c:v>
                </c:pt>
                <c:pt idx="8">
                  <c:v>191</c:v>
                </c:pt>
                <c:pt idx="9">
                  <c:v>145</c:v>
                </c:pt>
                <c:pt idx="10">
                  <c:v>129</c:v>
                </c:pt>
                <c:pt idx="11">
                  <c:v>85</c:v>
                </c:pt>
                <c:pt idx="12">
                  <c:v>121</c:v>
                </c:pt>
                <c:pt idx="13">
                  <c:v>163</c:v>
                </c:pt>
                <c:pt idx="14">
                  <c:v>183</c:v>
                </c:pt>
                <c:pt idx="15">
                  <c:v>139</c:v>
                </c:pt>
                <c:pt idx="16">
                  <c:v>167</c:v>
                </c:pt>
                <c:pt idx="17">
                  <c:v>162</c:v>
                </c:pt>
                <c:pt idx="18">
                  <c:v>126</c:v>
                </c:pt>
                <c:pt idx="19">
                  <c:v>69</c:v>
                </c:pt>
                <c:pt idx="20">
                  <c:v>79</c:v>
                </c:pt>
                <c:pt idx="21">
                  <c:v>172</c:v>
                </c:pt>
                <c:pt idx="22">
                  <c:v>153</c:v>
                </c:pt>
                <c:pt idx="23">
                  <c:v>135</c:v>
                </c:pt>
                <c:pt idx="24">
                  <c:v>143</c:v>
                </c:pt>
                <c:pt idx="25">
                  <c:v>185</c:v>
                </c:pt>
                <c:pt idx="26">
                  <c:v>183</c:v>
                </c:pt>
                <c:pt idx="27">
                  <c:v>148</c:v>
                </c:pt>
                <c:pt idx="28">
                  <c:v>142</c:v>
                </c:pt>
                <c:pt idx="29">
                  <c:v>107</c:v>
                </c:pt>
                <c:pt idx="30">
                  <c:v>137</c:v>
                </c:pt>
                <c:pt idx="31">
                  <c:v>123</c:v>
                </c:pt>
                <c:pt idx="32">
                  <c:v>113</c:v>
                </c:pt>
                <c:pt idx="33">
                  <c:v>142</c:v>
                </c:pt>
                <c:pt idx="34">
                  <c:v>163</c:v>
                </c:pt>
                <c:pt idx="35">
                  <c:v>134</c:v>
                </c:pt>
                <c:pt idx="36">
                  <c:v>129</c:v>
                </c:pt>
                <c:pt idx="37">
                  <c:v>145</c:v>
                </c:pt>
                <c:pt idx="38">
                  <c:v>155</c:v>
                </c:pt>
                <c:pt idx="39">
                  <c:v>112</c:v>
                </c:pt>
                <c:pt idx="40">
                  <c:v>143</c:v>
                </c:pt>
                <c:pt idx="41">
                  <c:v>166</c:v>
                </c:pt>
                <c:pt idx="42">
                  <c:v>204</c:v>
                </c:pt>
                <c:pt idx="43">
                  <c:v>173</c:v>
                </c:pt>
                <c:pt idx="44">
                  <c:v>241</c:v>
                </c:pt>
                <c:pt idx="45">
                  <c:v>292</c:v>
                </c:pt>
                <c:pt idx="46">
                  <c:v>225</c:v>
                </c:pt>
                <c:pt idx="47">
                  <c:v>185</c:v>
                </c:pt>
                <c:pt idx="48">
                  <c:v>182</c:v>
                </c:pt>
                <c:pt idx="49">
                  <c:v>234</c:v>
                </c:pt>
                <c:pt idx="50">
                  <c:v>236</c:v>
                </c:pt>
                <c:pt idx="51">
                  <c:v>177</c:v>
                </c:pt>
                <c:pt idx="52">
                  <c:v>199</c:v>
                </c:pt>
                <c:pt idx="53">
                  <c:v>250</c:v>
                </c:pt>
                <c:pt idx="54">
                  <c:v>200</c:v>
                </c:pt>
                <c:pt idx="55">
                  <c:v>193</c:v>
                </c:pt>
                <c:pt idx="56">
                  <c:v>163</c:v>
                </c:pt>
                <c:pt idx="57">
                  <c:v>240</c:v>
                </c:pt>
                <c:pt idx="58">
                  <c:v>231</c:v>
                </c:pt>
                <c:pt idx="59">
                  <c:v>171</c:v>
                </c:pt>
                <c:pt idx="60">
                  <c:v>217</c:v>
                </c:pt>
                <c:pt idx="61">
                  <c:v>220</c:v>
                </c:pt>
                <c:pt idx="62">
                  <c:v>254</c:v>
                </c:pt>
                <c:pt idx="63">
                  <c:v>235</c:v>
                </c:pt>
                <c:pt idx="64">
                  <c:v>218</c:v>
                </c:pt>
                <c:pt idx="65">
                  <c:v>264</c:v>
                </c:pt>
                <c:pt idx="66">
                  <c:v>262</c:v>
                </c:pt>
                <c:pt idx="67">
                  <c:v>279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75-1B45-89FC-C45EDD396191}"/>
            </c:ext>
          </c:extLst>
        </c:ser>
        <c:ser>
          <c:idx val="1"/>
          <c:order val="1"/>
          <c:tx>
            <c:strRef>
              <c:f>'Ark1'!$C$1</c:f>
              <c:strCache>
                <c:ptCount val="1"/>
                <c:pt idx="0">
                  <c:v>Number of condominiums for sale (ultimo)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'Ark1'!$C$2:$C$69</c:f>
              <c:numCache>
                <c:formatCode>General</c:formatCode>
                <c:ptCount val="68"/>
                <c:pt idx="0">
                  <c:v>91</c:v>
                </c:pt>
                <c:pt idx="1">
                  <c:v>131</c:v>
                </c:pt>
                <c:pt idx="2">
                  <c:v>150</c:v>
                </c:pt>
                <c:pt idx="3">
                  <c:v>144</c:v>
                </c:pt>
                <c:pt idx="4">
                  <c:v>144</c:v>
                </c:pt>
                <c:pt idx="5">
                  <c:v>234</c:v>
                </c:pt>
                <c:pt idx="6">
                  <c:v>230</c:v>
                </c:pt>
                <c:pt idx="7">
                  <c:v>249</c:v>
                </c:pt>
                <c:pt idx="8">
                  <c:v>283</c:v>
                </c:pt>
                <c:pt idx="9">
                  <c:v>447</c:v>
                </c:pt>
                <c:pt idx="10">
                  <c:v>589</c:v>
                </c:pt>
                <c:pt idx="11">
                  <c:v>605</c:v>
                </c:pt>
                <c:pt idx="12">
                  <c:v>610</c:v>
                </c:pt>
                <c:pt idx="13">
                  <c:v>676</c:v>
                </c:pt>
                <c:pt idx="14">
                  <c:v>643</c:v>
                </c:pt>
                <c:pt idx="15">
                  <c:v>559</c:v>
                </c:pt>
                <c:pt idx="16">
                  <c:v>467</c:v>
                </c:pt>
                <c:pt idx="17">
                  <c:v>487</c:v>
                </c:pt>
                <c:pt idx="18">
                  <c:v>495</c:v>
                </c:pt>
                <c:pt idx="19">
                  <c:v>449</c:v>
                </c:pt>
                <c:pt idx="20">
                  <c:v>377</c:v>
                </c:pt>
                <c:pt idx="21">
                  <c:v>310</c:v>
                </c:pt>
                <c:pt idx="22">
                  <c:v>298</c:v>
                </c:pt>
                <c:pt idx="23">
                  <c:v>292</c:v>
                </c:pt>
                <c:pt idx="24">
                  <c:v>320</c:v>
                </c:pt>
                <c:pt idx="25">
                  <c:v>381</c:v>
                </c:pt>
                <c:pt idx="26">
                  <c:v>351</c:v>
                </c:pt>
                <c:pt idx="27">
                  <c:v>316</c:v>
                </c:pt>
                <c:pt idx="28">
                  <c:v>367</c:v>
                </c:pt>
                <c:pt idx="29">
                  <c:v>529</c:v>
                </c:pt>
                <c:pt idx="30">
                  <c:v>563</c:v>
                </c:pt>
                <c:pt idx="31">
                  <c:v>417</c:v>
                </c:pt>
                <c:pt idx="32">
                  <c:v>349</c:v>
                </c:pt>
                <c:pt idx="33">
                  <c:v>343</c:v>
                </c:pt>
                <c:pt idx="34">
                  <c:v>338</c:v>
                </c:pt>
                <c:pt idx="35">
                  <c:v>309</c:v>
                </c:pt>
                <c:pt idx="36">
                  <c:v>311</c:v>
                </c:pt>
                <c:pt idx="37">
                  <c:v>351</c:v>
                </c:pt>
                <c:pt idx="38">
                  <c:v>349</c:v>
                </c:pt>
                <c:pt idx="39">
                  <c:v>311</c:v>
                </c:pt>
                <c:pt idx="40">
                  <c:v>316</c:v>
                </c:pt>
                <c:pt idx="41">
                  <c:v>361</c:v>
                </c:pt>
                <c:pt idx="42">
                  <c:v>378</c:v>
                </c:pt>
                <c:pt idx="43">
                  <c:v>290</c:v>
                </c:pt>
                <c:pt idx="44">
                  <c:v>240</c:v>
                </c:pt>
                <c:pt idx="45">
                  <c:v>261</c:v>
                </c:pt>
                <c:pt idx="46">
                  <c:v>315</c:v>
                </c:pt>
                <c:pt idx="47">
                  <c:v>273</c:v>
                </c:pt>
                <c:pt idx="48">
                  <c:v>290</c:v>
                </c:pt>
                <c:pt idx="49">
                  <c:v>370</c:v>
                </c:pt>
                <c:pt idx="50">
                  <c:v>375</c:v>
                </c:pt>
                <c:pt idx="51">
                  <c:v>323</c:v>
                </c:pt>
                <c:pt idx="52">
                  <c:v>309</c:v>
                </c:pt>
                <c:pt idx="53">
                  <c:v>319</c:v>
                </c:pt>
                <c:pt idx="54">
                  <c:v>353</c:v>
                </c:pt>
                <c:pt idx="55">
                  <c:v>340</c:v>
                </c:pt>
                <c:pt idx="56">
                  <c:v>427</c:v>
                </c:pt>
                <c:pt idx="57">
                  <c:v>507</c:v>
                </c:pt>
                <c:pt idx="58">
                  <c:v>509</c:v>
                </c:pt>
                <c:pt idx="59">
                  <c:v>484</c:v>
                </c:pt>
                <c:pt idx="60">
                  <c:v>507</c:v>
                </c:pt>
                <c:pt idx="61">
                  <c:v>537</c:v>
                </c:pt>
                <c:pt idx="62">
                  <c:v>513</c:v>
                </c:pt>
                <c:pt idx="63">
                  <c:v>402</c:v>
                </c:pt>
                <c:pt idx="64">
                  <c:v>365</c:v>
                </c:pt>
                <c:pt idx="65">
                  <c:v>361</c:v>
                </c:pt>
                <c:pt idx="66">
                  <c:v>333</c:v>
                </c:pt>
                <c:pt idx="67">
                  <c:v>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75-1B45-89FC-C45EDD39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342559"/>
        <c:axId val="2005880335"/>
      </c:lineChart>
      <c:catAx>
        <c:axId val="1538342559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2005880335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200588033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153834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'Ark4'!$B$2</c:f>
              <c:strCache>
                <c:ptCount val="1"/>
                <c:pt idx="0">
                  <c:v>Detached/terraced house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'Ark4'!$B$3:$B$118</c:f>
              <c:numCache>
                <c:formatCode>General</c:formatCode>
                <c:ptCount val="116"/>
                <c:pt idx="0">
                  <c:v>4021</c:v>
                </c:pt>
                <c:pt idx="1">
                  <c:v>4129</c:v>
                </c:pt>
                <c:pt idx="2">
                  <c:v>4000</c:v>
                </c:pt>
                <c:pt idx="3">
                  <c:v>3945</c:v>
                </c:pt>
                <c:pt idx="4">
                  <c:v>3851</c:v>
                </c:pt>
                <c:pt idx="5">
                  <c:v>4135</c:v>
                </c:pt>
                <c:pt idx="6">
                  <c:v>4296</c:v>
                </c:pt>
                <c:pt idx="7">
                  <c:v>4301</c:v>
                </c:pt>
                <c:pt idx="8">
                  <c:v>4333</c:v>
                </c:pt>
                <c:pt idx="9">
                  <c:v>4432</c:v>
                </c:pt>
                <c:pt idx="10">
                  <c:v>4443</c:v>
                </c:pt>
                <c:pt idx="11">
                  <c:v>4403</c:v>
                </c:pt>
                <c:pt idx="12">
                  <c:v>4450</c:v>
                </c:pt>
                <c:pt idx="13">
                  <c:v>4593</c:v>
                </c:pt>
                <c:pt idx="14">
                  <c:v>4635</c:v>
                </c:pt>
                <c:pt idx="15">
                  <c:v>4840</c:v>
                </c:pt>
                <c:pt idx="16">
                  <c:v>4946</c:v>
                </c:pt>
                <c:pt idx="17">
                  <c:v>5151</c:v>
                </c:pt>
                <c:pt idx="18">
                  <c:v>5229</c:v>
                </c:pt>
                <c:pt idx="19">
                  <c:v>5344</c:v>
                </c:pt>
                <c:pt idx="20">
                  <c:v>5567</c:v>
                </c:pt>
                <c:pt idx="21">
                  <c:v>5733</c:v>
                </c:pt>
                <c:pt idx="22">
                  <c:v>5806</c:v>
                </c:pt>
                <c:pt idx="23">
                  <c:v>5870</c:v>
                </c:pt>
                <c:pt idx="24">
                  <c:v>6111</c:v>
                </c:pt>
                <c:pt idx="25">
                  <c:v>6313</c:v>
                </c:pt>
                <c:pt idx="26">
                  <c:v>6233</c:v>
                </c:pt>
                <c:pt idx="27">
                  <c:v>6344</c:v>
                </c:pt>
                <c:pt idx="28">
                  <c:v>6616</c:v>
                </c:pt>
                <c:pt idx="29">
                  <c:v>6907</c:v>
                </c:pt>
                <c:pt idx="30">
                  <c:v>6825</c:v>
                </c:pt>
                <c:pt idx="31">
                  <c:v>6846</c:v>
                </c:pt>
                <c:pt idx="32">
                  <c:v>7023</c:v>
                </c:pt>
                <c:pt idx="33">
                  <c:v>7268</c:v>
                </c:pt>
                <c:pt idx="34">
                  <c:v>7348</c:v>
                </c:pt>
                <c:pt idx="35">
                  <c:v>7352</c:v>
                </c:pt>
                <c:pt idx="36">
                  <c:v>7611</c:v>
                </c:pt>
                <c:pt idx="37">
                  <c:v>7771</c:v>
                </c:pt>
                <c:pt idx="38">
                  <c:v>7631</c:v>
                </c:pt>
                <c:pt idx="39">
                  <c:v>7550</c:v>
                </c:pt>
                <c:pt idx="40">
                  <c:v>7869</c:v>
                </c:pt>
                <c:pt idx="41">
                  <c:v>7990</c:v>
                </c:pt>
                <c:pt idx="42">
                  <c:v>7956</c:v>
                </c:pt>
                <c:pt idx="43">
                  <c:v>7794</c:v>
                </c:pt>
                <c:pt idx="44">
                  <c:v>7886</c:v>
                </c:pt>
                <c:pt idx="45">
                  <c:v>8320</c:v>
                </c:pt>
                <c:pt idx="46">
                  <c:v>8367</c:v>
                </c:pt>
                <c:pt idx="47">
                  <c:v>8312</c:v>
                </c:pt>
                <c:pt idx="48">
                  <c:v>8637</c:v>
                </c:pt>
                <c:pt idx="49">
                  <c:v>8911</c:v>
                </c:pt>
                <c:pt idx="50">
                  <c:v>9142</c:v>
                </c:pt>
                <c:pt idx="51">
                  <c:v>9354</c:v>
                </c:pt>
                <c:pt idx="52">
                  <c:v>9760</c:v>
                </c:pt>
                <c:pt idx="53">
                  <c:v>10369</c:v>
                </c:pt>
                <c:pt idx="54">
                  <c:v>10922</c:v>
                </c:pt>
                <c:pt idx="55">
                  <c:v>11493</c:v>
                </c:pt>
                <c:pt idx="56">
                  <c:v>12261</c:v>
                </c:pt>
                <c:pt idx="57">
                  <c:v>12997</c:v>
                </c:pt>
                <c:pt idx="58">
                  <c:v>13331</c:v>
                </c:pt>
                <c:pt idx="59">
                  <c:v>13408</c:v>
                </c:pt>
                <c:pt idx="60">
                  <c:v>13480</c:v>
                </c:pt>
                <c:pt idx="61">
                  <c:v>13716</c:v>
                </c:pt>
                <c:pt idx="62">
                  <c:v>13578</c:v>
                </c:pt>
                <c:pt idx="63">
                  <c:v>13503</c:v>
                </c:pt>
                <c:pt idx="64">
                  <c:v>13391</c:v>
                </c:pt>
                <c:pt idx="65">
                  <c:v>13435</c:v>
                </c:pt>
                <c:pt idx="66">
                  <c:v>12967</c:v>
                </c:pt>
                <c:pt idx="67">
                  <c:v>12198</c:v>
                </c:pt>
                <c:pt idx="68">
                  <c:v>11504</c:v>
                </c:pt>
                <c:pt idx="69">
                  <c:v>11690</c:v>
                </c:pt>
                <c:pt idx="70">
                  <c:v>11618</c:v>
                </c:pt>
                <c:pt idx="71">
                  <c:v>11736</c:v>
                </c:pt>
                <c:pt idx="72">
                  <c:v>11824</c:v>
                </c:pt>
                <c:pt idx="73">
                  <c:v>12102</c:v>
                </c:pt>
                <c:pt idx="74">
                  <c:v>12000</c:v>
                </c:pt>
                <c:pt idx="75">
                  <c:v>11930</c:v>
                </c:pt>
                <c:pt idx="76">
                  <c:v>11824</c:v>
                </c:pt>
                <c:pt idx="77">
                  <c:v>11812</c:v>
                </c:pt>
                <c:pt idx="78">
                  <c:v>11339</c:v>
                </c:pt>
                <c:pt idx="79">
                  <c:v>11145</c:v>
                </c:pt>
                <c:pt idx="80">
                  <c:v>10972</c:v>
                </c:pt>
                <c:pt idx="81">
                  <c:v>11072</c:v>
                </c:pt>
                <c:pt idx="82">
                  <c:v>11084</c:v>
                </c:pt>
                <c:pt idx="83">
                  <c:v>10931</c:v>
                </c:pt>
                <c:pt idx="84">
                  <c:v>11041</c:v>
                </c:pt>
                <c:pt idx="85">
                  <c:v>11167</c:v>
                </c:pt>
                <c:pt idx="86">
                  <c:v>11128</c:v>
                </c:pt>
                <c:pt idx="87">
                  <c:v>11082</c:v>
                </c:pt>
                <c:pt idx="88">
                  <c:v>11100</c:v>
                </c:pt>
                <c:pt idx="89">
                  <c:v>11406</c:v>
                </c:pt>
                <c:pt idx="90">
                  <c:v>11315</c:v>
                </c:pt>
                <c:pt idx="91">
                  <c:v>11285</c:v>
                </c:pt>
                <c:pt idx="92">
                  <c:v>11764</c:v>
                </c:pt>
                <c:pt idx="93">
                  <c:v>12192</c:v>
                </c:pt>
                <c:pt idx="94">
                  <c:v>12124</c:v>
                </c:pt>
                <c:pt idx="95">
                  <c:v>12026</c:v>
                </c:pt>
                <c:pt idx="96">
                  <c:v>12166</c:v>
                </c:pt>
                <c:pt idx="97">
                  <c:v>12528</c:v>
                </c:pt>
                <c:pt idx="98">
                  <c:v>12670</c:v>
                </c:pt>
                <c:pt idx="99">
                  <c:v>12529</c:v>
                </c:pt>
                <c:pt idx="100">
                  <c:v>12647</c:v>
                </c:pt>
                <c:pt idx="101">
                  <c:v>13152</c:v>
                </c:pt>
                <c:pt idx="102">
                  <c:v>13160</c:v>
                </c:pt>
                <c:pt idx="103">
                  <c:v>13179</c:v>
                </c:pt>
                <c:pt idx="104">
                  <c:v>13407</c:v>
                </c:pt>
                <c:pt idx="105">
                  <c:v>13628</c:v>
                </c:pt>
                <c:pt idx="106">
                  <c:v>13697</c:v>
                </c:pt>
                <c:pt idx="107">
                  <c:v>13638</c:v>
                </c:pt>
                <c:pt idx="108">
                  <c:v>13618</c:v>
                </c:pt>
                <c:pt idx="109">
                  <c:v>14002</c:v>
                </c:pt>
                <c:pt idx="110">
                  <c:v>14145</c:v>
                </c:pt>
                <c:pt idx="111">
                  <c:v>14176</c:v>
                </c:pt>
                <c:pt idx="112">
                  <c:v>14124</c:v>
                </c:pt>
                <c:pt idx="113">
                  <c:v>14350</c:v>
                </c:pt>
                <c:pt idx="114">
                  <c:v>14731</c:v>
                </c:pt>
                <c:pt idx="115">
                  <c:v>15014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E7-9A44-977B-5B967DC9376A}"/>
            </c:ext>
          </c:extLst>
        </c:ser>
        <c:ser>
          <c:idx val="1"/>
          <c:order val="1"/>
          <c:tx>
            <c:strRef>
              <c:f>'Ark4'!$C$2</c:f>
              <c:strCache>
                <c:ptCount val="1"/>
                <c:pt idx="0">
                  <c:v>Condominium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'Ark4'!$C$3:$C$118</c:f>
              <c:numCache>
                <c:formatCode>General</c:formatCode>
                <c:ptCount val="116"/>
                <c:pt idx="0">
                  <c:v>5820</c:v>
                </c:pt>
                <c:pt idx="1">
                  <c:v>5850</c:v>
                </c:pt>
                <c:pt idx="2">
                  <c:v>5737</c:v>
                </c:pt>
                <c:pt idx="3">
                  <c:v>5443</c:v>
                </c:pt>
                <c:pt idx="4">
                  <c:v>5304</c:v>
                </c:pt>
                <c:pt idx="5">
                  <c:v>5452</c:v>
                </c:pt>
                <c:pt idx="6">
                  <c:v>5801</c:v>
                </c:pt>
                <c:pt idx="7">
                  <c:v>5609</c:v>
                </c:pt>
                <c:pt idx="8">
                  <c:v>5776</c:v>
                </c:pt>
                <c:pt idx="9">
                  <c:v>5784</c:v>
                </c:pt>
                <c:pt idx="10">
                  <c:v>5748</c:v>
                </c:pt>
                <c:pt idx="11">
                  <c:v>5672</c:v>
                </c:pt>
                <c:pt idx="12">
                  <c:v>5663</c:v>
                </c:pt>
                <c:pt idx="13">
                  <c:v>5834</c:v>
                </c:pt>
                <c:pt idx="14">
                  <c:v>6032</c:v>
                </c:pt>
                <c:pt idx="15">
                  <c:v>6067</c:v>
                </c:pt>
                <c:pt idx="16">
                  <c:v>6191</c:v>
                </c:pt>
                <c:pt idx="17">
                  <c:v>6609</c:v>
                </c:pt>
                <c:pt idx="18">
                  <c:v>6621</c:v>
                </c:pt>
                <c:pt idx="19">
                  <c:v>6631</c:v>
                </c:pt>
                <c:pt idx="20">
                  <c:v>6907</c:v>
                </c:pt>
                <c:pt idx="21">
                  <c:v>7237</c:v>
                </c:pt>
                <c:pt idx="22">
                  <c:v>7464</c:v>
                </c:pt>
                <c:pt idx="23">
                  <c:v>7648</c:v>
                </c:pt>
                <c:pt idx="24">
                  <c:v>7956</c:v>
                </c:pt>
                <c:pt idx="25">
                  <c:v>8337</c:v>
                </c:pt>
                <c:pt idx="26">
                  <c:v>8627</c:v>
                </c:pt>
                <c:pt idx="27">
                  <c:v>8773</c:v>
                </c:pt>
                <c:pt idx="28">
                  <c:v>9261</c:v>
                </c:pt>
                <c:pt idx="29">
                  <c:v>9679</c:v>
                </c:pt>
                <c:pt idx="30">
                  <c:v>9952</c:v>
                </c:pt>
                <c:pt idx="31">
                  <c:v>9958</c:v>
                </c:pt>
                <c:pt idx="32">
                  <c:v>10204</c:v>
                </c:pt>
                <c:pt idx="33">
                  <c:v>10654</c:v>
                </c:pt>
                <c:pt idx="34">
                  <c:v>10946</c:v>
                </c:pt>
                <c:pt idx="35">
                  <c:v>11012</c:v>
                </c:pt>
                <c:pt idx="36">
                  <c:v>11523</c:v>
                </c:pt>
                <c:pt idx="37">
                  <c:v>11901</c:v>
                </c:pt>
                <c:pt idx="38">
                  <c:v>12457</c:v>
                </c:pt>
                <c:pt idx="39">
                  <c:v>12286</c:v>
                </c:pt>
                <c:pt idx="40">
                  <c:v>12525</c:v>
                </c:pt>
                <c:pt idx="41">
                  <c:v>13077</c:v>
                </c:pt>
                <c:pt idx="42">
                  <c:v>13193</c:v>
                </c:pt>
                <c:pt idx="43">
                  <c:v>13105</c:v>
                </c:pt>
                <c:pt idx="44">
                  <c:v>13491</c:v>
                </c:pt>
                <c:pt idx="45">
                  <c:v>13752</c:v>
                </c:pt>
                <c:pt idx="46">
                  <c:v>14050</c:v>
                </c:pt>
                <c:pt idx="47">
                  <c:v>14176</c:v>
                </c:pt>
                <c:pt idx="48">
                  <c:v>14710</c:v>
                </c:pt>
                <c:pt idx="49">
                  <c:v>15364</c:v>
                </c:pt>
                <c:pt idx="50">
                  <c:v>16024</c:v>
                </c:pt>
                <c:pt idx="51">
                  <c:v>16390</c:v>
                </c:pt>
                <c:pt idx="52">
                  <c:v>17304</c:v>
                </c:pt>
                <c:pt idx="53">
                  <c:v>18590</c:v>
                </c:pt>
                <c:pt idx="54">
                  <c:v>20102</c:v>
                </c:pt>
                <c:pt idx="55">
                  <c:v>21269</c:v>
                </c:pt>
                <c:pt idx="56">
                  <c:v>22654</c:v>
                </c:pt>
                <c:pt idx="57">
                  <c:v>23990</c:v>
                </c:pt>
                <c:pt idx="58">
                  <c:v>23848</c:v>
                </c:pt>
                <c:pt idx="59">
                  <c:v>22928</c:v>
                </c:pt>
                <c:pt idx="60">
                  <c:v>22371</c:v>
                </c:pt>
                <c:pt idx="61">
                  <c:v>22279</c:v>
                </c:pt>
                <c:pt idx="62">
                  <c:v>21990</c:v>
                </c:pt>
                <c:pt idx="63">
                  <c:v>21044</c:v>
                </c:pt>
                <c:pt idx="64">
                  <c:v>20633</c:v>
                </c:pt>
                <c:pt idx="65">
                  <c:v>20364</c:v>
                </c:pt>
                <c:pt idx="66">
                  <c:v>19547</c:v>
                </c:pt>
                <c:pt idx="67">
                  <c:v>18093</c:v>
                </c:pt>
                <c:pt idx="68">
                  <c:v>16799</c:v>
                </c:pt>
                <c:pt idx="69">
                  <c:v>17240</c:v>
                </c:pt>
                <c:pt idx="70">
                  <c:v>17375</c:v>
                </c:pt>
                <c:pt idx="71">
                  <c:v>17815</c:v>
                </c:pt>
                <c:pt idx="72">
                  <c:v>17970</c:v>
                </c:pt>
                <c:pt idx="73">
                  <c:v>18593</c:v>
                </c:pt>
                <c:pt idx="74">
                  <c:v>18515</c:v>
                </c:pt>
                <c:pt idx="75">
                  <c:v>18463</c:v>
                </c:pt>
                <c:pt idx="76">
                  <c:v>18577</c:v>
                </c:pt>
                <c:pt idx="77">
                  <c:v>18522</c:v>
                </c:pt>
                <c:pt idx="78">
                  <c:v>17655</c:v>
                </c:pt>
                <c:pt idx="79">
                  <c:v>17441</c:v>
                </c:pt>
                <c:pt idx="80">
                  <c:v>17461</c:v>
                </c:pt>
                <c:pt idx="81">
                  <c:v>17625</c:v>
                </c:pt>
                <c:pt idx="82">
                  <c:v>17708</c:v>
                </c:pt>
                <c:pt idx="83">
                  <c:v>18171</c:v>
                </c:pt>
                <c:pt idx="84">
                  <c:v>18429</c:v>
                </c:pt>
                <c:pt idx="85">
                  <c:v>19133</c:v>
                </c:pt>
                <c:pt idx="86">
                  <c:v>19480</c:v>
                </c:pt>
                <c:pt idx="87">
                  <c:v>19441</c:v>
                </c:pt>
                <c:pt idx="88">
                  <c:v>19439</c:v>
                </c:pt>
                <c:pt idx="89">
                  <c:v>20291</c:v>
                </c:pt>
                <c:pt idx="90">
                  <c:v>20312</c:v>
                </c:pt>
                <c:pt idx="91">
                  <c:v>20470</c:v>
                </c:pt>
                <c:pt idx="92">
                  <c:v>21261</c:v>
                </c:pt>
                <c:pt idx="93">
                  <c:v>22467</c:v>
                </c:pt>
                <c:pt idx="94">
                  <c:v>22632</c:v>
                </c:pt>
                <c:pt idx="95">
                  <c:v>22719</c:v>
                </c:pt>
                <c:pt idx="96">
                  <c:v>23270</c:v>
                </c:pt>
                <c:pt idx="97">
                  <c:v>24218</c:v>
                </c:pt>
                <c:pt idx="98">
                  <c:v>24338</c:v>
                </c:pt>
                <c:pt idx="99">
                  <c:v>24535</c:v>
                </c:pt>
                <c:pt idx="100">
                  <c:v>25146</c:v>
                </c:pt>
                <c:pt idx="101">
                  <c:v>25973</c:v>
                </c:pt>
                <c:pt idx="102">
                  <c:v>26720</c:v>
                </c:pt>
                <c:pt idx="103">
                  <c:v>26627</c:v>
                </c:pt>
                <c:pt idx="104">
                  <c:v>27416</c:v>
                </c:pt>
                <c:pt idx="105">
                  <c:v>27950</c:v>
                </c:pt>
                <c:pt idx="106">
                  <c:v>27710</c:v>
                </c:pt>
                <c:pt idx="107">
                  <c:v>27291</c:v>
                </c:pt>
                <c:pt idx="108">
                  <c:v>27544</c:v>
                </c:pt>
                <c:pt idx="109">
                  <c:v>27943</c:v>
                </c:pt>
                <c:pt idx="110">
                  <c:v>28099</c:v>
                </c:pt>
                <c:pt idx="111">
                  <c:v>28256</c:v>
                </c:pt>
                <c:pt idx="112">
                  <c:v>28678</c:v>
                </c:pt>
                <c:pt idx="113">
                  <c:v>28907</c:v>
                </c:pt>
                <c:pt idx="114">
                  <c:v>29768</c:v>
                </c:pt>
                <c:pt idx="115">
                  <c:v>30657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EE7-9A44-977B-5B967DC9376A}"/>
            </c:ext>
          </c:extLst>
        </c:ser>
        <c:ser>
          <c:idx val="2"/>
          <c:order val="2"/>
          <c:tx>
            <c:strRef>
              <c:f>'Ark4'!$D$2</c:f>
              <c:strCache>
                <c:ptCount val="1"/>
                <c:pt idx="0">
                  <c:v>Holiday home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'Ark4'!$D$3:$D$118</c:f>
              <c:numCache>
                <c:formatCode>General</c:formatCode>
                <c:ptCount val="116"/>
                <c:pt idx="0">
                  <c:v>4441</c:v>
                </c:pt>
                <c:pt idx="1">
                  <c:v>4454</c:v>
                </c:pt>
                <c:pt idx="2">
                  <c:v>4250</c:v>
                </c:pt>
                <c:pt idx="3">
                  <c:v>4419</c:v>
                </c:pt>
                <c:pt idx="4">
                  <c:v>4431</c:v>
                </c:pt>
                <c:pt idx="5">
                  <c:v>4494</c:v>
                </c:pt>
                <c:pt idx="6">
                  <c:v>4436</c:v>
                </c:pt>
                <c:pt idx="7">
                  <c:v>4675</c:v>
                </c:pt>
                <c:pt idx="8">
                  <c:v>4733</c:v>
                </c:pt>
                <c:pt idx="9">
                  <c:v>4717</c:v>
                </c:pt>
                <c:pt idx="10">
                  <c:v>4571</c:v>
                </c:pt>
                <c:pt idx="11">
                  <c:v>4692</c:v>
                </c:pt>
                <c:pt idx="12">
                  <c:v>4719</c:v>
                </c:pt>
                <c:pt idx="13">
                  <c:v>4895</c:v>
                </c:pt>
                <c:pt idx="14">
                  <c:v>4735</c:v>
                </c:pt>
                <c:pt idx="15">
                  <c:v>5005</c:v>
                </c:pt>
                <c:pt idx="16">
                  <c:v>5257</c:v>
                </c:pt>
                <c:pt idx="17">
                  <c:v>5308</c:v>
                </c:pt>
                <c:pt idx="18">
                  <c:v>5098</c:v>
                </c:pt>
                <c:pt idx="19">
                  <c:v>5323</c:v>
                </c:pt>
                <c:pt idx="20">
                  <c:v>5671</c:v>
                </c:pt>
                <c:pt idx="21">
                  <c:v>5660</c:v>
                </c:pt>
                <c:pt idx="22">
                  <c:v>5693</c:v>
                </c:pt>
                <c:pt idx="23">
                  <c:v>5858</c:v>
                </c:pt>
                <c:pt idx="24">
                  <c:v>6206</c:v>
                </c:pt>
                <c:pt idx="25">
                  <c:v>6180</c:v>
                </c:pt>
                <c:pt idx="26">
                  <c:v>6290</c:v>
                </c:pt>
                <c:pt idx="27">
                  <c:v>6673</c:v>
                </c:pt>
                <c:pt idx="28">
                  <c:v>6817</c:v>
                </c:pt>
                <c:pt idx="29">
                  <c:v>7031</c:v>
                </c:pt>
                <c:pt idx="30">
                  <c:v>7041</c:v>
                </c:pt>
                <c:pt idx="31">
                  <c:v>6840</c:v>
                </c:pt>
                <c:pt idx="32">
                  <c:v>7275</c:v>
                </c:pt>
                <c:pt idx="33">
                  <c:v>7603</c:v>
                </c:pt>
                <c:pt idx="34">
                  <c:v>7623</c:v>
                </c:pt>
                <c:pt idx="35">
                  <c:v>7794</c:v>
                </c:pt>
                <c:pt idx="36">
                  <c:v>7978</c:v>
                </c:pt>
                <c:pt idx="37">
                  <c:v>8305</c:v>
                </c:pt>
                <c:pt idx="38">
                  <c:v>8263</c:v>
                </c:pt>
                <c:pt idx="39">
                  <c:v>8298</c:v>
                </c:pt>
                <c:pt idx="40">
                  <c:v>8649</c:v>
                </c:pt>
                <c:pt idx="41">
                  <c:v>8988</c:v>
                </c:pt>
                <c:pt idx="42">
                  <c:v>9289</c:v>
                </c:pt>
                <c:pt idx="43">
                  <c:v>9324</c:v>
                </c:pt>
                <c:pt idx="44">
                  <c:v>9601</c:v>
                </c:pt>
                <c:pt idx="45">
                  <c:v>10067</c:v>
                </c:pt>
                <c:pt idx="46">
                  <c:v>10405</c:v>
                </c:pt>
                <c:pt idx="47">
                  <c:v>10583</c:v>
                </c:pt>
                <c:pt idx="48">
                  <c:v>11131</c:v>
                </c:pt>
                <c:pt idx="49">
                  <c:v>11942</c:v>
                </c:pt>
                <c:pt idx="50">
                  <c:v>12642</c:v>
                </c:pt>
                <c:pt idx="51">
                  <c:v>12888</c:v>
                </c:pt>
                <c:pt idx="52">
                  <c:v>13699</c:v>
                </c:pt>
                <c:pt idx="53">
                  <c:v>14524</c:v>
                </c:pt>
                <c:pt idx="54">
                  <c:v>15552</c:v>
                </c:pt>
                <c:pt idx="55">
                  <c:v>16136</c:v>
                </c:pt>
                <c:pt idx="56">
                  <c:v>16217</c:v>
                </c:pt>
                <c:pt idx="57">
                  <c:v>17334</c:v>
                </c:pt>
                <c:pt idx="58">
                  <c:v>17689</c:v>
                </c:pt>
                <c:pt idx="59">
                  <c:v>17831</c:v>
                </c:pt>
                <c:pt idx="60">
                  <c:v>17745</c:v>
                </c:pt>
                <c:pt idx="61">
                  <c:v>18536</c:v>
                </c:pt>
                <c:pt idx="62">
                  <c:v>18257</c:v>
                </c:pt>
                <c:pt idx="63">
                  <c:v>18336</c:v>
                </c:pt>
                <c:pt idx="64">
                  <c:v>18042</c:v>
                </c:pt>
                <c:pt idx="65">
                  <c:v>18290</c:v>
                </c:pt>
                <c:pt idx="66">
                  <c:v>18379</c:v>
                </c:pt>
                <c:pt idx="67">
                  <c:v>16242</c:v>
                </c:pt>
                <c:pt idx="68">
                  <c:v>14824</c:v>
                </c:pt>
                <c:pt idx="69">
                  <c:v>15726</c:v>
                </c:pt>
                <c:pt idx="70">
                  <c:v>15853</c:v>
                </c:pt>
                <c:pt idx="71">
                  <c:v>16030</c:v>
                </c:pt>
                <c:pt idx="72">
                  <c:v>15938</c:v>
                </c:pt>
                <c:pt idx="73">
                  <c:v>16163</c:v>
                </c:pt>
                <c:pt idx="74">
                  <c:v>15825</c:v>
                </c:pt>
                <c:pt idx="75">
                  <c:v>15873</c:v>
                </c:pt>
                <c:pt idx="76">
                  <c:v>15289</c:v>
                </c:pt>
                <c:pt idx="77">
                  <c:v>15263</c:v>
                </c:pt>
                <c:pt idx="78">
                  <c:v>14841</c:v>
                </c:pt>
                <c:pt idx="79">
                  <c:v>14651</c:v>
                </c:pt>
                <c:pt idx="80">
                  <c:v>13899</c:v>
                </c:pt>
                <c:pt idx="81">
                  <c:v>14327</c:v>
                </c:pt>
                <c:pt idx="82">
                  <c:v>14037</c:v>
                </c:pt>
                <c:pt idx="83">
                  <c:v>13564</c:v>
                </c:pt>
                <c:pt idx="84">
                  <c:v>13888</c:v>
                </c:pt>
                <c:pt idx="85">
                  <c:v>14111</c:v>
                </c:pt>
                <c:pt idx="86">
                  <c:v>13834</c:v>
                </c:pt>
                <c:pt idx="87">
                  <c:v>13826</c:v>
                </c:pt>
                <c:pt idx="88">
                  <c:v>13391</c:v>
                </c:pt>
                <c:pt idx="89">
                  <c:v>13750</c:v>
                </c:pt>
                <c:pt idx="90">
                  <c:v>13526</c:v>
                </c:pt>
                <c:pt idx="91">
                  <c:v>13328</c:v>
                </c:pt>
                <c:pt idx="92">
                  <c:v>13604</c:v>
                </c:pt>
                <c:pt idx="93">
                  <c:v>14151</c:v>
                </c:pt>
                <c:pt idx="94">
                  <c:v>13778</c:v>
                </c:pt>
                <c:pt idx="95">
                  <c:v>13454</c:v>
                </c:pt>
                <c:pt idx="96">
                  <c:v>13277</c:v>
                </c:pt>
                <c:pt idx="97">
                  <c:v>14123</c:v>
                </c:pt>
                <c:pt idx="98">
                  <c:v>14091</c:v>
                </c:pt>
                <c:pt idx="99">
                  <c:v>13671</c:v>
                </c:pt>
                <c:pt idx="100">
                  <c:v>13406</c:v>
                </c:pt>
                <c:pt idx="101">
                  <c:v>14606</c:v>
                </c:pt>
                <c:pt idx="102">
                  <c:v>14490</c:v>
                </c:pt>
                <c:pt idx="103">
                  <c:v>14622</c:v>
                </c:pt>
                <c:pt idx="104">
                  <c:v>14658</c:v>
                </c:pt>
                <c:pt idx="105">
                  <c:v>15264</c:v>
                </c:pt>
                <c:pt idx="106">
                  <c:v>15249</c:v>
                </c:pt>
                <c:pt idx="107">
                  <c:v>15027</c:v>
                </c:pt>
                <c:pt idx="108">
                  <c:v>14882</c:v>
                </c:pt>
                <c:pt idx="109">
                  <c:v>15864</c:v>
                </c:pt>
                <c:pt idx="110">
                  <c:v>15716</c:v>
                </c:pt>
                <c:pt idx="111">
                  <c:v>15726</c:v>
                </c:pt>
                <c:pt idx="112">
                  <c:v>15809</c:v>
                </c:pt>
                <c:pt idx="113">
                  <c:v>16426</c:v>
                </c:pt>
                <c:pt idx="114">
                  <c:v>17532</c:v>
                </c:pt>
                <c:pt idx="115">
                  <c:v>17785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EE7-9A44-977B-5B967DC9376A}"/>
            </c:ext>
          </c:extLst>
        </c:ser>
        <c:ser>
          <c:idx val="3"/>
          <c:order val="3"/>
          <c:tx>
            <c:strRef>
              <c:f>'Ark4'!$E$2</c:f>
              <c:strCache>
                <c:ptCount val="1"/>
                <c:pt idx="0">
                  <c:v>Aggregate 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'Ark4'!$E$3:$E$118</c:f>
              <c:numCache>
                <c:formatCode>General</c:formatCode>
                <c:ptCount val="116"/>
                <c:pt idx="0">
                  <c:v>4760.666666666667</c:v>
                </c:pt>
                <c:pt idx="1">
                  <c:v>4811</c:v>
                </c:pt>
                <c:pt idx="2">
                  <c:v>4662.333333333333</c:v>
                </c:pt>
                <c:pt idx="3">
                  <c:v>4602.333333333333</c:v>
                </c:pt>
                <c:pt idx="4">
                  <c:v>4528.666666666667</c:v>
                </c:pt>
                <c:pt idx="5">
                  <c:v>4693.666666666667</c:v>
                </c:pt>
                <c:pt idx="6">
                  <c:v>4844.333333333333</c:v>
                </c:pt>
                <c:pt idx="7">
                  <c:v>4861.666666666667</c:v>
                </c:pt>
                <c:pt idx="8">
                  <c:v>4947.333333333333</c:v>
                </c:pt>
                <c:pt idx="9">
                  <c:v>4977.666666666667</c:v>
                </c:pt>
                <c:pt idx="10">
                  <c:v>4920.666666666667</c:v>
                </c:pt>
                <c:pt idx="11">
                  <c:v>4922.333333333333</c:v>
                </c:pt>
                <c:pt idx="12">
                  <c:v>4944</c:v>
                </c:pt>
                <c:pt idx="13">
                  <c:v>5107.333333333333</c:v>
                </c:pt>
                <c:pt idx="14">
                  <c:v>5134</c:v>
                </c:pt>
                <c:pt idx="15">
                  <c:v>5304</c:v>
                </c:pt>
                <c:pt idx="16">
                  <c:v>5464.666666666667</c:v>
                </c:pt>
                <c:pt idx="17">
                  <c:v>5689.333333333333</c:v>
                </c:pt>
                <c:pt idx="18">
                  <c:v>5649.333333333333</c:v>
                </c:pt>
                <c:pt idx="19">
                  <c:v>5766</c:v>
                </c:pt>
                <c:pt idx="20">
                  <c:v>6048.333333333333</c:v>
                </c:pt>
                <c:pt idx="21">
                  <c:v>6210</c:v>
                </c:pt>
                <c:pt idx="22">
                  <c:v>6321</c:v>
                </c:pt>
                <c:pt idx="23">
                  <c:v>6458.666666666667</c:v>
                </c:pt>
                <c:pt idx="24">
                  <c:v>6757.666666666667</c:v>
                </c:pt>
                <c:pt idx="25">
                  <c:v>6943.333333333333</c:v>
                </c:pt>
                <c:pt idx="26">
                  <c:v>7050</c:v>
                </c:pt>
                <c:pt idx="27">
                  <c:v>7263.333333333333</c:v>
                </c:pt>
                <c:pt idx="28">
                  <c:v>7564.666666666667</c:v>
                </c:pt>
                <c:pt idx="29">
                  <c:v>7872.333333333333</c:v>
                </c:pt>
                <c:pt idx="30">
                  <c:v>7939.333333333333</c:v>
                </c:pt>
                <c:pt idx="31">
                  <c:v>7881.333333333333</c:v>
                </c:pt>
                <c:pt idx="32">
                  <c:v>8167.333333333333</c:v>
                </c:pt>
                <c:pt idx="33">
                  <c:v>8508.3333333333339</c:v>
                </c:pt>
                <c:pt idx="34">
                  <c:v>8639</c:v>
                </c:pt>
                <c:pt idx="35">
                  <c:v>8719.3333333333339</c:v>
                </c:pt>
                <c:pt idx="36">
                  <c:v>9037.3333333333339</c:v>
                </c:pt>
                <c:pt idx="37">
                  <c:v>9325.6666666666661</c:v>
                </c:pt>
                <c:pt idx="38">
                  <c:v>9450.3333333333339</c:v>
                </c:pt>
                <c:pt idx="39">
                  <c:v>9378</c:v>
                </c:pt>
                <c:pt idx="40">
                  <c:v>9681</c:v>
                </c:pt>
                <c:pt idx="41">
                  <c:v>10018.333333333334</c:v>
                </c:pt>
                <c:pt idx="42">
                  <c:v>10146</c:v>
                </c:pt>
                <c:pt idx="43">
                  <c:v>10074.333333333334</c:v>
                </c:pt>
                <c:pt idx="44">
                  <c:v>10326</c:v>
                </c:pt>
                <c:pt idx="45">
                  <c:v>10713</c:v>
                </c:pt>
                <c:pt idx="46">
                  <c:v>10940.666666666666</c:v>
                </c:pt>
                <c:pt idx="47">
                  <c:v>11023.666666666666</c:v>
                </c:pt>
                <c:pt idx="48">
                  <c:v>11492.666666666666</c:v>
                </c:pt>
                <c:pt idx="49">
                  <c:v>12072.333333333334</c:v>
                </c:pt>
                <c:pt idx="50">
                  <c:v>12602.666666666666</c:v>
                </c:pt>
                <c:pt idx="51">
                  <c:v>12877.333333333334</c:v>
                </c:pt>
                <c:pt idx="52">
                  <c:v>13587.666666666666</c:v>
                </c:pt>
                <c:pt idx="53">
                  <c:v>14494.333333333334</c:v>
                </c:pt>
                <c:pt idx="54">
                  <c:v>15525.333333333334</c:v>
                </c:pt>
                <c:pt idx="55">
                  <c:v>16299.333333333334</c:v>
                </c:pt>
                <c:pt idx="56">
                  <c:v>17044</c:v>
                </c:pt>
                <c:pt idx="57">
                  <c:v>18107</c:v>
                </c:pt>
                <c:pt idx="58">
                  <c:v>18289.333333333332</c:v>
                </c:pt>
                <c:pt idx="59">
                  <c:v>18055.666666666668</c:v>
                </c:pt>
                <c:pt idx="60">
                  <c:v>17865.333333333332</c:v>
                </c:pt>
                <c:pt idx="61">
                  <c:v>18177</c:v>
                </c:pt>
                <c:pt idx="62">
                  <c:v>17941.666666666668</c:v>
                </c:pt>
                <c:pt idx="63">
                  <c:v>17627.666666666668</c:v>
                </c:pt>
                <c:pt idx="64">
                  <c:v>17355.333333333332</c:v>
                </c:pt>
                <c:pt idx="65">
                  <c:v>17363</c:v>
                </c:pt>
                <c:pt idx="66">
                  <c:v>16964.333333333332</c:v>
                </c:pt>
                <c:pt idx="67">
                  <c:v>15511</c:v>
                </c:pt>
                <c:pt idx="68">
                  <c:v>14375.666666666666</c:v>
                </c:pt>
                <c:pt idx="69">
                  <c:v>14885.333333333334</c:v>
                </c:pt>
                <c:pt idx="70">
                  <c:v>14948.666666666666</c:v>
                </c:pt>
                <c:pt idx="71">
                  <c:v>15193.666666666666</c:v>
                </c:pt>
                <c:pt idx="72">
                  <c:v>15244</c:v>
                </c:pt>
                <c:pt idx="73">
                  <c:v>15619.333333333334</c:v>
                </c:pt>
                <c:pt idx="74">
                  <c:v>15446.666666666666</c:v>
                </c:pt>
                <c:pt idx="75">
                  <c:v>15422</c:v>
                </c:pt>
                <c:pt idx="76">
                  <c:v>15230</c:v>
                </c:pt>
                <c:pt idx="77">
                  <c:v>15199</c:v>
                </c:pt>
                <c:pt idx="78">
                  <c:v>14611.666666666666</c:v>
                </c:pt>
                <c:pt idx="79">
                  <c:v>14412.333333333334</c:v>
                </c:pt>
                <c:pt idx="80">
                  <c:v>14110.666666666666</c:v>
                </c:pt>
                <c:pt idx="81">
                  <c:v>14341.333333333334</c:v>
                </c:pt>
                <c:pt idx="82">
                  <c:v>14276.333333333334</c:v>
                </c:pt>
                <c:pt idx="83">
                  <c:v>14222</c:v>
                </c:pt>
                <c:pt idx="84">
                  <c:v>14452.666666666666</c:v>
                </c:pt>
                <c:pt idx="85">
                  <c:v>14803.666666666666</c:v>
                </c:pt>
                <c:pt idx="86">
                  <c:v>14814</c:v>
                </c:pt>
                <c:pt idx="87">
                  <c:v>14783</c:v>
                </c:pt>
                <c:pt idx="88">
                  <c:v>14643.333333333334</c:v>
                </c:pt>
                <c:pt idx="89">
                  <c:v>15149</c:v>
                </c:pt>
                <c:pt idx="90">
                  <c:v>15051</c:v>
                </c:pt>
                <c:pt idx="91">
                  <c:v>15027.666666666666</c:v>
                </c:pt>
                <c:pt idx="92">
                  <c:v>15543</c:v>
                </c:pt>
                <c:pt idx="93">
                  <c:v>16270</c:v>
                </c:pt>
                <c:pt idx="94">
                  <c:v>16178</c:v>
                </c:pt>
                <c:pt idx="95">
                  <c:v>16066.333333333334</c:v>
                </c:pt>
                <c:pt idx="96">
                  <c:v>16237.666666666666</c:v>
                </c:pt>
                <c:pt idx="97">
                  <c:v>16956.333333333332</c:v>
                </c:pt>
                <c:pt idx="98">
                  <c:v>17033</c:v>
                </c:pt>
                <c:pt idx="99">
                  <c:v>16911.666666666668</c:v>
                </c:pt>
                <c:pt idx="100">
                  <c:v>17066.333333333332</c:v>
                </c:pt>
                <c:pt idx="101">
                  <c:v>17910.333333333332</c:v>
                </c:pt>
                <c:pt idx="102">
                  <c:v>18123.333333333332</c:v>
                </c:pt>
                <c:pt idx="103">
                  <c:v>18142.666666666668</c:v>
                </c:pt>
                <c:pt idx="104">
                  <c:v>18493.666666666668</c:v>
                </c:pt>
                <c:pt idx="105">
                  <c:v>18947.333333333332</c:v>
                </c:pt>
                <c:pt idx="106">
                  <c:v>18885.333333333332</c:v>
                </c:pt>
                <c:pt idx="107">
                  <c:v>18652</c:v>
                </c:pt>
                <c:pt idx="108">
                  <c:v>18681.333333333332</c:v>
                </c:pt>
                <c:pt idx="109">
                  <c:v>19269.666666666668</c:v>
                </c:pt>
                <c:pt idx="110">
                  <c:v>19320</c:v>
                </c:pt>
                <c:pt idx="111">
                  <c:v>19386</c:v>
                </c:pt>
                <c:pt idx="112">
                  <c:v>19537</c:v>
                </c:pt>
                <c:pt idx="113">
                  <c:v>19894.333333333332</c:v>
                </c:pt>
                <c:pt idx="114">
                  <c:v>20677</c:v>
                </c:pt>
                <c:pt idx="115">
                  <c:v>21152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EE7-9A44-977B-5B967DC9376A}"/>
            </c:ext>
          </c:extLst>
        </c:ser>
        <c:ser>
          <c:idx val="4"/>
          <c:order val="4"/>
          <c:tx>
            <c:strRef>
              <c:f>'Ark4'!$F$2</c:f>
              <c:strCache>
                <c:ptCount val="1"/>
                <c:pt idx="0">
                  <c:v>Condominium (Aarhus)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'Ark4'!$F$3:$F$118</c:f>
              <c:numCache>
                <c:formatCode>General</c:formatCode>
                <c:ptCount val="116"/>
                <c:pt idx="0">
                  <c:v>7439</c:v>
                </c:pt>
                <c:pt idx="1">
                  <c:v>7347</c:v>
                </c:pt>
                <c:pt idx="2">
                  <c:v>7597</c:v>
                </c:pt>
                <c:pt idx="3">
                  <c:v>7151</c:v>
                </c:pt>
                <c:pt idx="4">
                  <c:v>6413</c:v>
                </c:pt>
                <c:pt idx="5">
                  <c:v>7076</c:v>
                </c:pt>
                <c:pt idx="6">
                  <c:v>7544</c:v>
                </c:pt>
                <c:pt idx="7">
                  <c:v>7326</c:v>
                </c:pt>
                <c:pt idx="8">
                  <c:v>7690</c:v>
                </c:pt>
                <c:pt idx="9">
                  <c:v>7430</c:v>
                </c:pt>
                <c:pt idx="10">
                  <c:v>7680</c:v>
                </c:pt>
                <c:pt idx="11">
                  <c:v>7519</c:v>
                </c:pt>
                <c:pt idx="12">
                  <c:v>7377</c:v>
                </c:pt>
                <c:pt idx="13">
                  <c:v>8073</c:v>
                </c:pt>
                <c:pt idx="14">
                  <c:v>8453</c:v>
                </c:pt>
                <c:pt idx="15">
                  <c:v>8406</c:v>
                </c:pt>
                <c:pt idx="16">
                  <c:v>8620</c:v>
                </c:pt>
                <c:pt idx="17">
                  <c:v>9303</c:v>
                </c:pt>
                <c:pt idx="18">
                  <c:v>9726</c:v>
                </c:pt>
                <c:pt idx="19">
                  <c:v>9648</c:v>
                </c:pt>
                <c:pt idx="20">
                  <c:v>10447</c:v>
                </c:pt>
                <c:pt idx="21">
                  <c:v>10324</c:v>
                </c:pt>
                <c:pt idx="22">
                  <c:v>10941</c:v>
                </c:pt>
                <c:pt idx="23">
                  <c:v>10619</c:v>
                </c:pt>
                <c:pt idx="24">
                  <c:v>11170</c:v>
                </c:pt>
                <c:pt idx="25">
                  <c:v>11693</c:v>
                </c:pt>
                <c:pt idx="26">
                  <c:v>12575</c:v>
                </c:pt>
                <c:pt idx="27">
                  <c:v>11919</c:v>
                </c:pt>
                <c:pt idx="28">
                  <c:v>12018</c:v>
                </c:pt>
                <c:pt idx="29">
                  <c:v>12803</c:v>
                </c:pt>
                <c:pt idx="30">
                  <c:v>12842</c:v>
                </c:pt>
                <c:pt idx="31">
                  <c:v>12931</c:v>
                </c:pt>
                <c:pt idx="32">
                  <c:v>12246</c:v>
                </c:pt>
                <c:pt idx="33">
                  <c:v>13193</c:v>
                </c:pt>
                <c:pt idx="34">
                  <c:v>13760</c:v>
                </c:pt>
                <c:pt idx="35">
                  <c:v>12907</c:v>
                </c:pt>
                <c:pt idx="36">
                  <c:v>13564</c:v>
                </c:pt>
                <c:pt idx="37">
                  <c:v>13978</c:v>
                </c:pt>
                <c:pt idx="38">
                  <c:v>14674</c:v>
                </c:pt>
                <c:pt idx="39">
                  <c:v>13795</c:v>
                </c:pt>
                <c:pt idx="40">
                  <c:v>14068</c:v>
                </c:pt>
                <c:pt idx="41">
                  <c:v>14577</c:v>
                </c:pt>
                <c:pt idx="42">
                  <c:v>14597</c:v>
                </c:pt>
                <c:pt idx="43">
                  <c:v>14419</c:v>
                </c:pt>
                <c:pt idx="44">
                  <c:v>15674</c:v>
                </c:pt>
                <c:pt idx="45">
                  <c:v>16140</c:v>
                </c:pt>
                <c:pt idx="46">
                  <c:v>17148</c:v>
                </c:pt>
                <c:pt idx="47">
                  <c:v>17006</c:v>
                </c:pt>
                <c:pt idx="48">
                  <c:v>17539</c:v>
                </c:pt>
                <c:pt idx="49">
                  <c:v>19602</c:v>
                </c:pt>
                <c:pt idx="50">
                  <c:v>21301</c:v>
                </c:pt>
                <c:pt idx="51">
                  <c:v>22112</c:v>
                </c:pt>
                <c:pt idx="52">
                  <c:v>23067</c:v>
                </c:pt>
                <c:pt idx="53">
                  <c:v>24810</c:v>
                </c:pt>
                <c:pt idx="54">
                  <c:v>27374</c:v>
                </c:pt>
                <c:pt idx="55">
                  <c:v>27924</c:v>
                </c:pt>
                <c:pt idx="56">
                  <c:v>29518</c:v>
                </c:pt>
                <c:pt idx="57">
                  <c:v>30561</c:v>
                </c:pt>
                <c:pt idx="58">
                  <c:v>30509</c:v>
                </c:pt>
                <c:pt idx="59">
                  <c:v>29106</c:v>
                </c:pt>
                <c:pt idx="60">
                  <c:v>28562</c:v>
                </c:pt>
                <c:pt idx="61">
                  <c:v>27789</c:v>
                </c:pt>
                <c:pt idx="62">
                  <c:v>26530</c:v>
                </c:pt>
                <c:pt idx="63">
                  <c:v>25343</c:v>
                </c:pt>
                <c:pt idx="64">
                  <c:v>25221</c:v>
                </c:pt>
                <c:pt idx="65">
                  <c:v>25546</c:v>
                </c:pt>
                <c:pt idx="66">
                  <c:v>24585</c:v>
                </c:pt>
                <c:pt idx="67">
                  <c:v>22132</c:v>
                </c:pt>
                <c:pt idx="68">
                  <c:v>21935</c:v>
                </c:pt>
                <c:pt idx="69">
                  <c:v>23010</c:v>
                </c:pt>
                <c:pt idx="70">
                  <c:v>23440</c:v>
                </c:pt>
                <c:pt idx="71">
                  <c:v>24221</c:v>
                </c:pt>
                <c:pt idx="72">
                  <c:v>25202</c:v>
                </c:pt>
                <c:pt idx="73">
                  <c:v>25322</c:v>
                </c:pt>
                <c:pt idx="74">
                  <c:v>25267</c:v>
                </c:pt>
                <c:pt idx="75">
                  <c:v>25576</c:v>
                </c:pt>
                <c:pt idx="76">
                  <c:v>26148</c:v>
                </c:pt>
                <c:pt idx="77">
                  <c:v>26679</c:v>
                </c:pt>
                <c:pt idx="78">
                  <c:v>25338</c:v>
                </c:pt>
                <c:pt idx="79">
                  <c:v>24881</c:v>
                </c:pt>
                <c:pt idx="80">
                  <c:v>24593</c:v>
                </c:pt>
                <c:pt idx="81">
                  <c:v>24861</c:v>
                </c:pt>
                <c:pt idx="82">
                  <c:v>25372</c:v>
                </c:pt>
                <c:pt idx="83">
                  <c:v>25534</c:v>
                </c:pt>
                <c:pt idx="84">
                  <c:v>26637</c:v>
                </c:pt>
                <c:pt idx="85">
                  <c:v>27035</c:v>
                </c:pt>
                <c:pt idx="86">
                  <c:v>27657</c:v>
                </c:pt>
                <c:pt idx="87">
                  <c:v>26789</c:v>
                </c:pt>
                <c:pt idx="88">
                  <c:v>27223</c:v>
                </c:pt>
                <c:pt idx="89">
                  <c:v>28561</c:v>
                </c:pt>
                <c:pt idx="90">
                  <c:v>28807</c:v>
                </c:pt>
                <c:pt idx="91">
                  <c:v>28242</c:v>
                </c:pt>
                <c:pt idx="92">
                  <c:v>29323</c:v>
                </c:pt>
                <c:pt idx="93">
                  <c:v>30851</c:v>
                </c:pt>
                <c:pt idx="94">
                  <c:v>31410</c:v>
                </c:pt>
                <c:pt idx="95">
                  <c:v>31354</c:v>
                </c:pt>
                <c:pt idx="96">
                  <c:v>32792</c:v>
                </c:pt>
                <c:pt idx="97">
                  <c:v>33697</c:v>
                </c:pt>
                <c:pt idx="98">
                  <c:v>33303</c:v>
                </c:pt>
                <c:pt idx="99">
                  <c:v>33262</c:v>
                </c:pt>
                <c:pt idx="100">
                  <c:v>34555</c:v>
                </c:pt>
                <c:pt idx="101">
                  <c:v>34591</c:v>
                </c:pt>
                <c:pt idx="102">
                  <c:v>35046</c:v>
                </c:pt>
                <c:pt idx="103">
                  <c:v>34909</c:v>
                </c:pt>
                <c:pt idx="104">
                  <c:v>36300</c:v>
                </c:pt>
                <c:pt idx="105">
                  <c:v>35876</c:v>
                </c:pt>
                <c:pt idx="106">
                  <c:v>36630</c:v>
                </c:pt>
                <c:pt idx="107">
                  <c:v>35165</c:v>
                </c:pt>
                <c:pt idx="108">
                  <c:v>35695</c:v>
                </c:pt>
                <c:pt idx="109">
                  <c:v>36348</c:v>
                </c:pt>
                <c:pt idx="110">
                  <c:v>35561</c:v>
                </c:pt>
                <c:pt idx="111">
                  <c:v>36203</c:v>
                </c:pt>
                <c:pt idx="112">
                  <c:v>36878</c:v>
                </c:pt>
                <c:pt idx="113">
                  <c:v>36804</c:v>
                </c:pt>
                <c:pt idx="114">
                  <c:v>38538</c:v>
                </c:pt>
                <c:pt idx="115">
                  <c:v>38574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EE7-9A44-977B-5B967DC93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65167"/>
        <c:axId val="1537347567"/>
      </c:lineChart>
      <c:catAx>
        <c:axId val="15719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1537347567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347567"/>
        <c:scaling>
          <c:orientation val="minMax"/>
          <c:max val="40000"/>
          <c:min val="0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71965167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'Ark4'!$B$2</c:f>
              <c:strCache>
                <c:ptCount val="1"/>
                <c:pt idx="0">
                  <c:v>Detached/terraced house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'Ark4'!$B$3:$B$118</c:f>
              <c:numCache>
                <c:formatCode>General</c:formatCode>
                <c:ptCount val="116"/>
                <c:pt idx="0">
                  <c:v>4021</c:v>
                </c:pt>
                <c:pt idx="1">
                  <c:v>4129</c:v>
                </c:pt>
                <c:pt idx="2">
                  <c:v>4000</c:v>
                </c:pt>
                <c:pt idx="3">
                  <c:v>3945</c:v>
                </c:pt>
                <c:pt idx="4">
                  <c:v>3851</c:v>
                </c:pt>
                <c:pt idx="5">
                  <c:v>4135</c:v>
                </c:pt>
                <c:pt idx="6">
                  <c:v>4296</c:v>
                </c:pt>
                <c:pt idx="7">
                  <c:v>4301</c:v>
                </c:pt>
                <c:pt idx="8">
                  <c:v>4333</c:v>
                </c:pt>
                <c:pt idx="9">
                  <c:v>4432</c:v>
                </c:pt>
                <c:pt idx="10">
                  <c:v>4443</c:v>
                </c:pt>
                <c:pt idx="11">
                  <c:v>4403</c:v>
                </c:pt>
                <c:pt idx="12">
                  <c:v>4450</c:v>
                </c:pt>
                <c:pt idx="13">
                  <c:v>4593</c:v>
                </c:pt>
                <c:pt idx="14">
                  <c:v>4635</c:v>
                </c:pt>
                <c:pt idx="15">
                  <c:v>4840</c:v>
                </c:pt>
                <c:pt idx="16">
                  <c:v>4946</c:v>
                </c:pt>
                <c:pt idx="17">
                  <c:v>5151</c:v>
                </c:pt>
                <c:pt idx="18">
                  <c:v>5229</c:v>
                </c:pt>
                <c:pt idx="19">
                  <c:v>5344</c:v>
                </c:pt>
                <c:pt idx="20">
                  <c:v>5567</c:v>
                </c:pt>
                <c:pt idx="21">
                  <c:v>5733</c:v>
                </c:pt>
                <c:pt idx="22">
                  <c:v>5806</c:v>
                </c:pt>
                <c:pt idx="23">
                  <c:v>5870</c:v>
                </c:pt>
                <c:pt idx="24">
                  <c:v>6111</c:v>
                </c:pt>
                <c:pt idx="25">
                  <c:v>6313</c:v>
                </c:pt>
                <c:pt idx="26">
                  <c:v>6233</c:v>
                </c:pt>
                <c:pt idx="27">
                  <c:v>6344</c:v>
                </c:pt>
                <c:pt idx="28">
                  <c:v>6616</c:v>
                </c:pt>
                <c:pt idx="29">
                  <c:v>6907</c:v>
                </c:pt>
                <c:pt idx="30">
                  <c:v>6825</c:v>
                </c:pt>
                <c:pt idx="31">
                  <c:v>6846</c:v>
                </c:pt>
                <c:pt idx="32">
                  <c:v>7023</c:v>
                </c:pt>
                <c:pt idx="33">
                  <c:v>7268</c:v>
                </c:pt>
                <c:pt idx="34">
                  <c:v>7348</c:v>
                </c:pt>
                <c:pt idx="35">
                  <c:v>7352</c:v>
                </c:pt>
                <c:pt idx="36">
                  <c:v>7611</c:v>
                </c:pt>
                <c:pt idx="37">
                  <c:v>7771</c:v>
                </c:pt>
                <c:pt idx="38">
                  <c:v>7631</c:v>
                </c:pt>
                <c:pt idx="39">
                  <c:v>7550</c:v>
                </c:pt>
                <c:pt idx="40">
                  <c:v>7869</c:v>
                </c:pt>
                <c:pt idx="41">
                  <c:v>7990</c:v>
                </c:pt>
                <c:pt idx="42">
                  <c:v>7956</c:v>
                </c:pt>
                <c:pt idx="43">
                  <c:v>7794</c:v>
                </c:pt>
                <c:pt idx="44">
                  <c:v>7886</c:v>
                </c:pt>
                <c:pt idx="45">
                  <c:v>8320</c:v>
                </c:pt>
                <c:pt idx="46">
                  <c:v>8367</c:v>
                </c:pt>
                <c:pt idx="47">
                  <c:v>8312</c:v>
                </c:pt>
                <c:pt idx="48">
                  <c:v>8637</c:v>
                </c:pt>
                <c:pt idx="49">
                  <c:v>8911</c:v>
                </c:pt>
                <c:pt idx="50">
                  <c:v>9142</c:v>
                </c:pt>
                <c:pt idx="51">
                  <c:v>9354</c:v>
                </c:pt>
                <c:pt idx="52">
                  <c:v>9760</c:v>
                </c:pt>
                <c:pt idx="53">
                  <c:v>10369</c:v>
                </c:pt>
                <c:pt idx="54">
                  <c:v>10922</c:v>
                </c:pt>
                <c:pt idx="55">
                  <c:v>11493</c:v>
                </c:pt>
                <c:pt idx="56">
                  <c:v>12261</c:v>
                </c:pt>
                <c:pt idx="57">
                  <c:v>12997</c:v>
                </c:pt>
                <c:pt idx="58">
                  <c:v>13331</c:v>
                </c:pt>
                <c:pt idx="59">
                  <c:v>13408</c:v>
                </c:pt>
                <c:pt idx="60">
                  <c:v>13480</c:v>
                </c:pt>
                <c:pt idx="61">
                  <c:v>13716</c:v>
                </c:pt>
                <c:pt idx="62">
                  <c:v>13578</c:v>
                </c:pt>
                <c:pt idx="63">
                  <c:v>13503</c:v>
                </c:pt>
                <c:pt idx="64">
                  <c:v>13391</c:v>
                </c:pt>
                <c:pt idx="65">
                  <c:v>13435</c:v>
                </c:pt>
                <c:pt idx="66">
                  <c:v>12967</c:v>
                </c:pt>
                <c:pt idx="67">
                  <c:v>12198</c:v>
                </c:pt>
                <c:pt idx="68">
                  <c:v>11504</c:v>
                </c:pt>
                <c:pt idx="69">
                  <c:v>11690</c:v>
                </c:pt>
                <c:pt idx="70">
                  <c:v>11618</c:v>
                </c:pt>
                <c:pt idx="71">
                  <c:v>11736</c:v>
                </c:pt>
                <c:pt idx="72">
                  <c:v>11824</c:v>
                </c:pt>
                <c:pt idx="73">
                  <c:v>12102</c:v>
                </c:pt>
                <c:pt idx="74">
                  <c:v>12000</c:v>
                </c:pt>
                <c:pt idx="75">
                  <c:v>11930</c:v>
                </c:pt>
                <c:pt idx="76">
                  <c:v>11824</c:v>
                </c:pt>
                <c:pt idx="77">
                  <c:v>11812</c:v>
                </c:pt>
                <c:pt idx="78">
                  <c:v>11339</c:v>
                </c:pt>
                <c:pt idx="79">
                  <c:v>11145</c:v>
                </c:pt>
                <c:pt idx="80">
                  <c:v>10972</c:v>
                </c:pt>
                <c:pt idx="81">
                  <c:v>11072</c:v>
                </c:pt>
                <c:pt idx="82">
                  <c:v>11084</c:v>
                </c:pt>
                <c:pt idx="83">
                  <c:v>10931</c:v>
                </c:pt>
                <c:pt idx="84">
                  <c:v>11041</c:v>
                </c:pt>
                <c:pt idx="85">
                  <c:v>11167</c:v>
                </c:pt>
                <c:pt idx="86">
                  <c:v>11128</c:v>
                </c:pt>
                <c:pt idx="87">
                  <c:v>11082</c:v>
                </c:pt>
                <c:pt idx="88">
                  <c:v>11100</c:v>
                </c:pt>
                <c:pt idx="89">
                  <c:v>11406</c:v>
                </c:pt>
                <c:pt idx="90">
                  <c:v>11315</c:v>
                </c:pt>
                <c:pt idx="91">
                  <c:v>11285</c:v>
                </c:pt>
                <c:pt idx="92">
                  <c:v>11764</c:v>
                </c:pt>
                <c:pt idx="93">
                  <c:v>12192</c:v>
                </c:pt>
                <c:pt idx="94">
                  <c:v>12124</c:v>
                </c:pt>
                <c:pt idx="95">
                  <c:v>12026</c:v>
                </c:pt>
                <c:pt idx="96">
                  <c:v>12166</c:v>
                </c:pt>
                <c:pt idx="97">
                  <c:v>12528</c:v>
                </c:pt>
                <c:pt idx="98">
                  <c:v>12670</c:v>
                </c:pt>
                <c:pt idx="99">
                  <c:v>12529</c:v>
                </c:pt>
                <c:pt idx="100">
                  <c:v>12647</c:v>
                </c:pt>
                <c:pt idx="101">
                  <c:v>13152</c:v>
                </c:pt>
                <c:pt idx="102">
                  <c:v>13160</c:v>
                </c:pt>
                <c:pt idx="103">
                  <c:v>13179</c:v>
                </c:pt>
                <c:pt idx="104">
                  <c:v>13407</c:v>
                </c:pt>
                <c:pt idx="105">
                  <c:v>13628</c:v>
                </c:pt>
                <c:pt idx="106">
                  <c:v>13697</c:v>
                </c:pt>
                <c:pt idx="107">
                  <c:v>13638</c:v>
                </c:pt>
                <c:pt idx="108">
                  <c:v>13618</c:v>
                </c:pt>
                <c:pt idx="109">
                  <c:v>14002</c:v>
                </c:pt>
                <c:pt idx="110">
                  <c:v>14145</c:v>
                </c:pt>
                <c:pt idx="111">
                  <c:v>14176</c:v>
                </c:pt>
                <c:pt idx="112">
                  <c:v>14124</c:v>
                </c:pt>
                <c:pt idx="113">
                  <c:v>14350</c:v>
                </c:pt>
                <c:pt idx="114">
                  <c:v>14731</c:v>
                </c:pt>
                <c:pt idx="115">
                  <c:v>15014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42-4747-9AC2-4AB69C4A8F99}"/>
            </c:ext>
          </c:extLst>
        </c:ser>
        <c:ser>
          <c:idx val="1"/>
          <c:order val="1"/>
          <c:tx>
            <c:strRef>
              <c:f>'Ark4'!$C$2</c:f>
              <c:strCache>
                <c:ptCount val="1"/>
                <c:pt idx="0">
                  <c:v>Condominium 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'Ark4'!$C$3:$C$118</c:f>
              <c:numCache>
                <c:formatCode>General</c:formatCode>
                <c:ptCount val="116"/>
                <c:pt idx="0">
                  <c:v>5820</c:v>
                </c:pt>
                <c:pt idx="1">
                  <c:v>5850</c:v>
                </c:pt>
                <c:pt idx="2">
                  <c:v>5737</c:v>
                </c:pt>
                <c:pt idx="3">
                  <c:v>5443</c:v>
                </c:pt>
                <c:pt idx="4">
                  <c:v>5304</c:v>
                </c:pt>
                <c:pt idx="5">
                  <c:v>5452</c:v>
                </c:pt>
                <c:pt idx="6">
                  <c:v>5801</c:v>
                </c:pt>
                <c:pt idx="7">
                  <c:v>5609</c:v>
                </c:pt>
                <c:pt idx="8">
                  <c:v>5776</c:v>
                </c:pt>
                <c:pt idx="9">
                  <c:v>5784</c:v>
                </c:pt>
                <c:pt idx="10">
                  <c:v>5748</c:v>
                </c:pt>
                <c:pt idx="11">
                  <c:v>5672</c:v>
                </c:pt>
                <c:pt idx="12">
                  <c:v>5663</c:v>
                </c:pt>
                <c:pt idx="13">
                  <c:v>5834</c:v>
                </c:pt>
                <c:pt idx="14">
                  <c:v>6032</c:v>
                </c:pt>
                <c:pt idx="15">
                  <c:v>6067</c:v>
                </c:pt>
                <c:pt idx="16">
                  <c:v>6191</c:v>
                </c:pt>
                <c:pt idx="17">
                  <c:v>6609</c:v>
                </c:pt>
                <c:pt idx="18">
                  <c:v>6621</c:v>
                </c:pt>
                <c:pt idx="19">
                  <c:v>6631</c:v>
                </c:pt>
                <c:pt idx="20">
                  <c:v>6907</c:v>
                </c:pt>
                <c:pt idx="21">
                  <c:v>7237</c:v>
                </c:pt>
                <c:pt idx="22">
                  <c:v>7464</c:v>
                </c:pt>
                <c:pt idx="23">
                  <c:v>7648</c:v>
                </c:pt>
                <c:pt idx="24">
                  <c:v>7956</c:v>
                </c:pt>
                <c:pt idx="25">
                  <c:v>8337</c:v>
                </c:pt>
                <c:pt idx="26">
                  <c:v>8627</c:v>
                </c:pt>
                <c:pt idx="27">
                  <c:v>8773</c:v>
                </c:pt>
                <c:pt idx="28">
                  <c:v>9261</c:v>
                </c:pt>
                <c:pt idx="29">
                  <c:v>9679</c:v>
                </c:pt>
                <c:pt idx="30">
                  <c:v>9952</c:v>
                </c:pt>
                <c:pt idx="31">
                  <c:v>9958</c:v>
                </c:pt>
                <c:pt idx="32">
                  <c:v>10204</c:v>
                </c:pt>
                <c:pt idx="33">
                  <c:v>10654</c:v>
                </c:pt>
                <c:pt idx="34">
                  <c:v>10946</c:v>
                </c:pt>
                <c:pt idx="35">
                  <c:v>11012</c:v>
                </c:pt>
                <c:pt idx="36">
                  <c:v>11523</c:v>
                </c:pt>
                <c:pt idx="37">
                  <c:v>11901</c:v>
                </c:pt>
                <c:pt idx="38">
                  <c:v>12457</c:v>
                </c:pt>
                <c:pt idx="39">
                  <c:v>12286</c:v>
                </c:pt>
                <c:pt idx="40">
                  <c:v>12525</c:v>
                </c:pt>
                <c:pt idx="41">
                  <c:v>13077</c:v>
                </c:pt>
                <c:pt idx="42">
                  <c:v>13193</c:v>
                </c:pt>
                <c:pt idx="43">
                  <c:v>13105</c:v>
                </c:pt>
                <c:pt idx="44">
                  <c:v>13491</c:v>
                </c:pt>
                <c:pt idx="45">
                  <c:v>13752</c:v>
                </c:pt>
                <c:pt idx="46">
                  <c:v>14050</c:v>
                </c:pt>
                <c:pt idx="47">
                  <c:v>14176</c:v>
                </c:pt>
                <c:pt idx="48">
                  <c:v>14710</c:v>
                </c:pt>
                <c:pt idx="49">
                  <c:v>15364</c:v>
                </c:pt>
                <c:pt idx="50">
                  <c:v>16024</c:v>
                </c:pt>
                <c:pt idx="51">
                  <c:v>16390</c:v>
                </c:pt>
                <c:pt idx="52">
                  <c:v>17304</c:v>
                </c:pt>
                <c:pt idx="53">
                  <c:v>18590</c:v>
                </c:pt>
                <c:pt idx="54">
                  <c:v>20102</c:v>
                </c:pt>
                <c:pt idx="55">
                  <c:v>21269</c:v>
                </c:pt>
                <c:pt idx="56">
                  <c:v>22654</c:v>
                </c:pt>
                <c:pt idx="57">
                  <c:v>23990</c:v>
                </c:pt>
                <c:pt idx="58">
                  <c:v>23848</c:v>
                </c:pt>
                <c:pt idx="59">
                  <c:v>22928</c:v>
                </c:pt>
                <c:pt idx="60">
                  <c:v>22371</c:v>
                </c:pt>
                <c:pt idx="61">
                  <c:v>22279</c:v>
                </c:pt>
                <c:pt idx="62">
                  <c:v>21990</c:v>
                </c:pt>
                <c:pt idx="63">
                  <c:v>21044</c:v>
                </c:pt>
                <c:pt idx="64">
                  <c:v>20633</c:v>
                </c:pt>
                <c:pt idx="65">
                  <c:v>20364</c:v>
                </c:pt>
                <c:pt idx="66">
                  <c:v>19547</c:v>
                </c:pt>
                <c:pt idx="67">
                  <c:v>18093</c:v>
                </c:pt>
                <c:pt idx="68">
                  <c:v>16799</c:v>
                </c:pt>
                <c:pt idx="69">
                  <c:v>17240</c:v>
                </c:pt>
                <c:pt idx="70">
                  <c:v>17375</c:v>
                </c:pt>
                <c:pt idx="71">
                  <c:v>17815</c:v>
                </c:pt>
                <c:pt idx="72">
                  <c:v>17970</c:v>
                </c:pt>
                <c:pt idx="73">
                  <c:v>18593</c:v>
                </c:pt>
                <c:pt idx="74">
                  <c:v>18515</c:v>
                </c:pt>
                <c:pt idx="75">
                  <c:v>18463</c:v>
                </c:pt>
                <c:pt idx="76">
                  <c:v>18577</c:v>
                </c:pt>
                <c:pt idx="77">
                  <c:v>18522</c:v>
                </c:pt>
                <c:pt idx="78">
                  <c:v>17655</c:v>
                </c:pt>
                <c:pt idx="79">
                  <c:v>17441</c:v>
                </c:pt>
                <c:pt idx="80">
                  <c:v>17461</c:v>
                </c:pt>
                <c:pt idx="81">
                  <c:v>17625</c:v>
                </c:pt>
                <c:pt idx="82">
                  <c:v>17708</c:v>
                </c:pt>
                <c:pt idx="83">
                  <c:v>18171</c:v>
                </c:pt>
                <c:pt idx="84">
                  <c:v>18429</c:v>
                </c:pt>
                <c:pt idx="85">
                  <c:v>19133</c:v>
                </c:pt>
                <c:pt idx="86">
                  <c:v>19480</c:v>
                </c:pt>
                <c:pt idx="87">
                  <c:v>19441</c:v>
                </c:pt>
                <c:pt idx="88">
                  <c:v>19439</c:v>
                </c:pt>
                <c:pt idx="89">
                  <c:v>20291</c:v>
                </c:pt>
                <c:pt idx="90">
                  <c:v>20312</c:v>
                </c:pt>
                <c:pt idx="91">
                  <c:v>20470</c:v>
                </c:pt>
                <c:pt idx="92">
                  <c:v>21261</c:v>
                </c:pt>
                <c:pt idx="93">
                  <c:v>22467</c:v>
                </c:pt>
                <c:pt idx="94">
                  <c:v>22632</c:v>
                </c:pt>
                <c:pt idx="95">
                  <c:v>22719</c:v>
                </c:pt>
                <c:pt idx="96">
                  <c:v>23270</c:v>
                </c:pt>
                <c:pt idx="97">
                  <c:v>24218</c:v>
                </c:pt>
                <c:pt idx="98">
                  <c:v>24338</c:v>
                </c:pt>
                <c:pt idx="99">
                  <c:v>24535</c:v>
                </c:pt>
                <c:pt idx="100">
                  <c:v>25146</c:v>
                </c:pt>
                <c:pt idx="101">
                  <c:v>25973</c:v>
                </c:pt>
                <c:pt idx="102">
                  <c:v>26720</c:v>
                </c:pt>
                <c:pt idx="103">
                  <c:v>26627</c:v>
                </c:pt>
                <c:pt idx="104">
                  <c:v>27416</c:v>
                </c:pt>
                <c:pt idx="105">
                  <c:v>27950</c:v>
                </c:pt>
                <c:pt idx="106">
                  <c:v>27710</c:v>
                </c:pt>
                <c:pt idx="107">
                  <c:v>27291</c:v>
                </c:pt>
                <c:pt idx="108">
                  <c:v>27544</c:v>
                </c:pt>
                <c:pt idx="109">
                  <c:v>27943</c:v>
                </c:pt>
                <c:pt idx="110">
                  <c:v>28099</c:v>
                </c:pt>
                <c:pt idx="111">
                  <c:v>28256</c:v>
                </c:pt>
                <c:pt idx="112">
                  <c:v>28678</c:v>
                </c:pt>
                <c:pt idx="113">
                  <c:v>28907</c:v>
                </c:pt>
                <c:pt idx="114">
                  <c:v>29768</c:v>
                </c:pt>
                <c:pt idx="115">
                  <c:v>30657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42-4747-9AC2-4AB69C4A8F99}"/>
            </c:ext>
          </c:extLst>
        </c:ser>
        <c:ser>
          <c:idx val="2"/>
          <c:order val="2"/>
          <c:tx>
            <c:strRef>
              <c:f>'Ark4'!$D$2</c:f>
              <c:strCache>
                <c:ptCount val="1"/>
                <c:pt idx="0">
                  <c:v>Holiday home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'Ark4'!$D$3:$D$118</c:f>
              <c:numCache>
                <c:formatCode>General</c:formatCode>
                <c:ptCount val="116"/>
                <c:pt idx="0">
                  <c:v>4441</c:v>
                </c:pt>
                <c:pt idx="1">
                  <c:v>4454</c:v>
                </c:pt>
                <c:pt idx="2">
                  <c:v>4250</c:v>
                </c:pt>
                <c:pt idx="3">
                  <c:v>4419</c:v>
                </c:pt>
                <c:pt idx="4">
                  <c:v>4431</c:v>
                </c:pt>
                <c:pt idx="5">
                  <c:v>4494</c:v>
                </c:pt>
                <c:pt idx="6">
                  <c:v>4436</c:v>
                </c:pt>
                <c:pt idx="7">
                  <c:v>4675</c:v>
                </c:pt>
                <c:pt idx="8">
                  <c:v>4733</c:v>
                </c:pt>
                <c:pt idx="9">
                  <c:v>4717</c:v>
                </c:pt>
                <c:pt idx="10">
                  <c:v>4571</c:v>
                </c:pt>
                <c:pt idx="11">
                  <c:v>4692</c:v>
                </c:pt>
                <c:pt idx="12">
                  <c:v>4719</c:v>
                </c:pt>
                <c:pt idx="13">
                  <c:v>4895</c:v>
                </c:pt>
                <c:pt idx="14">
                  <c:v>4735</c:v>
                </c:pt>
                <c:pt idx="15">
                  <c:v>5005</c:v>
                </c:pt>
                <c:pt idx="16">
                  <c:v>5257</c:v>
                </c:pt>
                <c:pt idx="17">
                  <c:v>5308</c:v>
                </c:pt>
                <c:pt idx="18">
                  <c:v>5098</c:v>
                </c:pt>
                <c:pt idx="19">
                  <c:v>5323</c:v>
                </c:pt>
                <c:pt idx="20">
                  <c:v>5671</c:v>
                </c:pt>
                <c:pt idx="21">
                  <c:v>5660</c:v>
                </c:pt>
                <c:pt idx="22">
                  <c:v>5693</c:v>
                </c:pt>
                <c:pt idx="23">
                  <c:v>5858</c:v>
                </c:pt>
                <c:pt idx="24">
                  <c:v>6206</c:v>
                </c:pt>
                <c:pt idx="25">
                  <c:v>6180</c:v>
                </c:pt>
                <c:pt idx="26">
                  <c:v>6290</c:v>
                </c:pt>
                <c:pt idx="27">
                  <c:v>6673</c:v>
                </c:pt>
                <c:pt idx="28">
                  <c:v>6817</c:v>
                </c:pt>
                <c:pt idx="29">
                  <c:v>7031</c:v>
                </c:pt>
                <c:pt idx="30">
                  <c:v>7041</c:v>
                </c:pt>
                <c:pt idx="31">
                  <c:v>6840</c:v>
                </c:pt>
                <c:pt idx="32">
                  <c:v>7275</c:v>
                </c:pt>
                <c:pt idx="33">
                  <c:v>7603</c:v>
                </c:pt>
                <c:pt idx="34">
                  <c:v>7623</c:v>
                </c:pt>
                <c:pt idx="35">
                  <c:v>7794</c:v>
                </c:pt>
                <c:pt idx="36">
                  <c:v>7978</c:v>
                </c:pt>
                <c:pt idx="37">
                  <c:v>8305</c:v>
                </c:pt>
                <c:pt idx="38">
                  <c:v>8263</c:v>
                </c:pt>
                <c:pt idx="39">
                  <c:v>8298</c:v>
                </c:pt>
                <c:pt idx="40">
                  <c:v>8649</c:v>
                </c:pt>
                <c:pt idx="41">
                  <c:v>8988</c:v>
                </c:pt>
                <c:pt idx="42">
                  <c:v>9289</c:v>
                </c:pt>
                <c:pt idx="43">
                  <c:v>9324</c:v>
                </c:pt>
                <c:pt idx="44">
                  <c:v>9601</c:v>
                </c:pt>
                <c:pt idx="45">
                  <c:v>10067</c:v>
                </c:pt>
                <c:pt idx="46">
                  <c:v>10405</c:v>
                </c:pt>
                <c:pt idx="47">
                  <c:v>10583</c:v>
                </c:pt>
                <c:pt idx="48">
                  <c:v>11131</c:v>
                </c:pt>
                <c:pt idx="49">
                  <c:v>11942</c:v>
                </c:pt>
                <c:pt idx="50">
                  <c:v>12642</c:v>
                </c:pt>
                <c:pt idx="51">
                  <c:v>12888</c:v>
                </c:pt>
                <c:pt idx="52">
                  <c:v>13699</c:v>
                </c:pt>
                <c:pt idx="53">
                  <c:v>14524</c:v>
                </c:pt>
                <c:pt idx="54">
                  <c:v>15552</c:v>
                </c:pt>
                <c:pt idx="55">
                  <c:v>16136</c:v>
                </c:pt>
                <c:pt idx="56">
                  <c:v>16217</c:v>
                </c:pt>
                <c:pt idx="57">
                  <c:v>17334</c:v>
                </c:pt>
                <c:pt idx="58">
                  <c:v>17689</c:v>
                </c:pt>
                <c:pt idx="59">
                  <c:v>17831</c:v>
                </c:pt>
                <c:pt idx="60">
                  <c:v>17745</c:v>
                </c:pt>
                <c:pt idx="61">
                  <c:v>18536</c:v>
                </c:pt>
                <c:pt idx="62">
                  <c:v>18257</c:v>
                </c:pt>
                <c:pt idx="63">
                  <c:v>18336</c:v>
                </c:pt>
                <c:pt idx="64">
                  <c:v>18042</c:v>
                </c:pt>
                <c:pt idx="65">
                  <c:v>18290</c:v>
                </c:pt>
                <c:pt idx="66">
                  <c:v>18379</c:v>
                </c:pt>
                <c:pt idx="67">
                  <c:v>16242</c:v>
                </c:pt>
                <c:pt idx="68">
                  <c:v>14824</c:v>
                </c:pt>
                <c:pt idx="69">
                  <c:v>15726</c:v>
                </c:pt>
                <c:pt idx="70">
                  <c:v>15853</c:v>
                </c:pt>
                <c:pt idx="71">
                  <c:v>16030</c:v>
                </c:pt>
                <c:pt idx="72">
                  <c:v>15938</c:v>
                </c:pt>
                <c:pt idx="73">
                  <c:v>16163</c:v>
                </c:pt>
                <c:pt idx="74">
                  <c:v>15825</c:v>
                </c:pt>
                <c:pt idx="75">
                  <c:v>15873</c:v>
                </c:pt>
                <c:pt idx="76">
                  <c:v>15289</c:v>
                </c:pt>
                <c:pt idx="77">
                  <c:v>15263</c:v>
                </c:pt>
                <c:pt idx="78">
                  <c:v>14841</c:v>
                </c:pt>
                <c:pt idx="79">
                  <c:v>14651</c:v>
                </c:pt>
                <c:pt idx="80">
                  <c:v>13899</c:v>
                </c:pt>
                <c:pt idx="81">
                  <c:v>14327</c:v>
                </c:pt>
                <c:pt idx="82">
                  <c:v>14037</c:v>
                </c:pt>
                <c:pt idx="83">
                  <c:v>13564</c:v>
                </c:pt>
                <c:pt idx="84">
                  <c:v>13888</c:v>
                </c:pt>
                <c:pt idx="85">
                  <c:v>14111</c:v>
                </c:pt>
                <c:pt idx="86">
                  <c:v>13834</c:v>
                </c:pt>
                <c:pt idx="87">
                  <c:v>13826</c:v>
                </c:pt>
                <c:pt idx="88">
                  <c:v>13391</c:v>
                </c:pt>
                <c:pt idx="89">
                  <c:v>13750</c:v>
                </c:pt>
                <c:pt idx="90">
                  <c:v>13526</c:v>
                </c:pt>
                <c:pt idx="91">
                  <c:v>13328</c:v>
                </c:pt>
                <c:pt idx="92">
                  <c:v>13604</c:v>
                </c:pt>
                <c:pt idx="93">
                  <c:v>14151</c:v>
                </c:pt>
                <c:pt idx="94">
                  <c:v>13778</c:v>
                </c:pt>
                <c:pt idx="95">
                  <c:v>13454</c:v>
                </c:pt>
                <c:pt idx="96">
                  <c:v>13277</c:v>
                </c:pt>
                <c:pt idx="97">
                  <c:v>14123</c:v>
                </c:pt>
                <c:pt idx="98">
                  <c:v>14091</c:v>
                </c:pt>
                <c:pt idx="99">
                  <c:v>13671</c:v>
                </c:pt>
                <c:pt idx="100">
                  <c:v>13406</c:v>
                </c:pt>
                <c:pt idx="101">
                  <c:v>14606</c:v>
                </c:pt>
                <c:pt idx="102">
                  <c:v>14490</c:v>
                </c:pt>
                <c:pt idx="103">
                  <c:v>14622</c:v>
                </c:pt>
                <c:pt idx="104">
                  <c:v>14658</c:v>
                </c:pt>
                <c:pt idx="105">
                  <c:v>15264</c:v>
                </c:pt>
                <c:pt idx="106">
                  <c:v>15249</c:v>
                </c:pt>
                <c:pt idx="107">
                  <c:v>15027</c:v>
                </c:pt>
                <c:pt idx="108">
                  <c:v>14882</c:v>
                </c:pt>
                <c:pt idx="109">
                  <c:v>15864</c:v>
                </c:pt>
                <c:pt idx="110">
                  <c:v>15716</c:v>
                </c:pt>
                <c:pt idx="111">
                  <c:v>15726</c:v>
                </c:pt>
                <c:pt idx="112">
                  <c:v>15809</c:v>
                </c:pt>
                <c:pt idx="113">
                  <c:v>16426</c:v>
                </c:pt>
                <c:pt idx="114">
                  <c:v>17532</c:v>
                </c:pt>
                <c:pt idx="115">
                  <c:v>17785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42-4747-9AC2-4AB69C4A8F99}"/>
            </c:ext>
          </c:extLst>
        </c:ser>
        <c:ser>
          <c:idx val="3"/>
          <c:order val="3"/>
          <c:tx>
            <c:strRef>
              <c:f>'Ark4'!$E$2</c:f>
              <c:strCache>
                <c:ptCount val="1"/>
                <c:pt idx="0">
                  <c:v>Aggregate average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'Ark4'!$E$3:$E$118</c:f>
              <c:numCache>
                <c:formatCode>General</c:formatCode>
                <c:ptCount val="116"/>
                <c:pt idx="0">
                  <c:v>4760.666666666667</c:v>
                </c:pt>
                <c:pt idx="1">
                  <c:v>4811</c:v>
                </c:pt>
                <c:pt idx="2">
                  <c:v>4662.333333333333</c:v>
                </c:pt>
                <c:pt idx="3">
                  <c:v>4602.333333333333</c:v>
                </c:pt>
                <c:pt idx="4">
                  <c:v>4528.666666666667</c:v>
                </c:pt>
                <c:pt idx="5">
                  <c:v>4693.666666666667</c:v>
                </c:pt>
                <c:pt idx="6">
                  <c:v>4844.333333333333</c:v>
                </c:pt>
                <c:pt idx="7">
                  <c:v>4861.666666666667</c:v>
                </c:pt>
                <c:pt idx="8">
                  <c:v>4947.333333333333</c:v>
                </c:pt>
                <c:pt idx="9">
                  <c:v>4977.666666666667</c:v>
                </c:pt>
                <c:pt idx="10">
                  <c:v>4920.666666666667</c:v>
                </c:pt>
                <c:pt idx="11">
                  <c:v>4922.333333333333</c:v>
                </c:pt>
                <c:pt idx="12">
                  <c:v>4944</c:v>
                </c:pt>
                <c:pt idx="13">
                  <c:v>5107.333333333333</c:v>
                </c:pt>
                <c:pt idx="14">
                  <c:v>5134</c:v>
                </c:pt>
                <c:pt idx="15">
                  <c:v>5304</c:v>
                </c:pt>
                <c:pt idx="16">
                  <c:v>5464.666666666667</c:v>
                </c:pt>
                <c:pt idx="17">
                  <c:v>5689.333333333333</c:v>
                </c:pt>
                <c:pt idx="18">
                  <c:v>5649.333333333333</c:v>
                </c:pt>
                <c:pt idx="19">
                  <c:v>5766</c:v>
                </c:pt>
                <c:pt idx="20">
                  <c:v>6048.333333333333</c:v>
                </c:pt>
                <c:pt idx="21">
                  <c:v>6210</c:v>
                </c:pt>
                <c:pt idx="22">
                  <c:v>6321</c:v>
                </c:pt>
                <c:pt idx="23">
                  <c:v>6458.666666666667</c:v>
                </c:pt>
                <c:pt idx="24">
                  <c:v>6757.666666666667</c:v>
                </c:pt>
                <c:pt idx="25">
                  <c:v>6943.333333333333</c:v>
                </c:pt>
                <c:pt idx="26">
                  <c:v>7050</c:v>
                </c:pt>
                <c:pt idx="27">
                  <c:v>7263.333333333333</c:v>
                </c:pt>
                <c:pt idx="28">
                  <c:v>7564.666666666667</c:v>
                </c:pt>
                <c:pt idx="29">
                  <c:v>7872.333333333333</c:v>
                </c:pt>
                <c:pt idx="30">
                  <c:v>7939.333333333333</c:v>
                </c:pt>
                <c:pt idx="31">
                  <c:v>7881.333333333333</c:v>
                </c:pt>
                <c:pt idx="32">
                  <c:v>8167.333333333333</c:v>
                </c:pt>
                <c:pt idx="33">
                  <c:v>8508.3333333333339</c:v>
                </c:pt>
                <c:pt idx="34">
                  <c:v>8639</c:v>
                </c:pt>
                <c:pt idx="35">
                  <c:v>8719.3333333333339</c:v>
                </c:pt>
                <c:pt idx="36">
                  <c:v>9037.3333333333339</c:v>
                </c:pt>
                <c:pt idx="37">
                  <c:v>9325.6666666666661</c:v>
                </c:pt>
                <c:pt idx="38">
                  <c:v>9450.3333333333339</c:v>
                </c:pt>
                <c:pt idx="39">
                  <c:v>9378</c:v>
                </c:pt>
                <c:pt idx="40">
                  <c:v>9681</c:v>
                </c:pt>
                <c:pt idx="41">
                  <c:v>10018.333333333334</c:v>
                </c:pt>
                <c:pt idx="42">
                  <c:v>10146</c:v>
                </c:pt>
                <c:pt idx="43">
                  <c:v>10074.333333333334</c:v>
                </c:pt>
                <c:pt idx="44">
                  <c:v>10326</c:v>
                </c:pt>
                <c:pt idx="45">
                  <c:v>10713</c:v>
                </c:pt>
                <c:pt idx="46">
                  <c:v>10940.666666666666</c:v>
                </c:pt>
                <c:pt idx="47">
                  <c:v>11023.666666666666</c:v>
                </c:pt>
                <c:pt idx="48">
                  <c:v>11492.666666666666</c:v>
                </c:pt>
                <c:pt idx="49">
                  <c:v>12072.333333333334</c:v>
                </c:pt>
                <c:pt idx="50">
                  <c:v>12602.666666666666</c:v>
                </c:pt>
                <c:pt idx="51">
                  <c:v>12877.333333333334</c:v>
                </c:pt>
                <c:pt idx="52">
                  <c:v>13587.666666666666</c:v>
                </c:pt>
                <c:pt idx="53">
                  <c:v>14494.333333333334</c:v>
                </c:pt>
                <c:pt idx="54">
                  <c:v>15525.333333333334</c:v>
                </c:pt>
                <c:pt idx="55">
                  <c:v>16299.333333333334</c:v>
                </c:pt>
                <c:pt idx="56">
                  <c:v>17044</c:v>
                </c:pt>
                <c:pt idx="57">
                  <c:v>18107</c:v>
                </c:pt>
                <c:pt idx="58">
                  <c:v>18289.333333333332</c:v>
                </c:pt>
                <c:pt idx="59">
                  <c:v>18055.666666666668</c:v>
                </c:pt>
                <c:pt idx="60">
                  <c:v>17865.333333333332</c:v>
                </c:pt>
                <c:pt idx="61">
                  <c:v>18177</c:v>
                </c:pt>
                <c:pt idx="62">
                  <c:v>17941.666666666668</c:v>
                </c:pt>
                <c:pt idx="63">
                  <c:v>17627.666666666668</c:v>
                </c:pt>
                <c:pt idx="64">
                  <c:v>17355.333333333332</c:v>
                </c:pt>
                <c:pt idx="65">
                  <c:v>17363</c:v>
                </c:pt>
                <c:pt idx="66">
                  <c:v>16964.333333333332</c:v>
                </c:pt>
                <c:pt idx="67">
                  <c:v>15511</c:v>
                </c:pt>
                <c:pt idx="68">
                  <c:v>14375.666666666666</c:v>
                </c:pt>
                <c:pt idx="69">
                  <c:v>14885.333333333334</c:v>
                </c:pt>
                <c:pt idx="70">
                  <c:v>14948.666666666666</c:v>
                </c:pt>
                <c:pt idx="71">
                  <c:v>15193.666666666666</c:v>
                </c:pt>
                <c:pt idx="72">
                  <c:v>15244</c:v>
                </c:pt>
                <c:pt idx="73">
                  <c:v>15619.333333333334</c:v>
                </c:pt>
                <c:pt idx="74">
                  <c:v>15446.666666666666</c:v>
                </c:pt>
                <c:pt idx="75">
                  <c:v>15422</c:v>
                </c:pt>
                <c:pt idx="76">
                  <c:v>15230</c:v>
                </c:pt>
                <c:pt idx="77">
                  <c:v>15199</c:v>
                </c:pt>
                <c:pt idx="78">
                  <c:v>14611.666666666666</c:v>
                </c:pt>
                <c:pt idx="79">
                  <c:v>14412.333333333334</c:v>
                </c:pt>
                <c:pt idx="80">
                  <c:v>14110.666666666666</c:v>
                </c:pt>
                <c:pt idx="81">
                  <c:v>14341.333333333334</c:v>
                </c:pt>
                <c:pt idx="82">
                  <c:v>14276.333333333334</c:v>
                </c:pt>
                <c:pt idx="83">
                  <c:v>14222</c:v>
                </c:pt>
                <c:pt idx="84">
                  <c:v>14452.666666666666</c:v>
                </c:pt>
                <c:pt idx="85">
                  <c:v>14803.666666666666</c:v>
                </c:pt>
                <c:pt idx="86">
                  <c:v>14814</c:v>
                </c:pt>
                <c:pt idx="87">
                  <c:v>14783</c:v>
                </c:pt>
                <c:pt idx="88">
                  <c:v>14643.333333333334</c:v>
                </c:pt>
                <c:pt idx="89">
                  <c:v>15149</c:v>
                </c:pt>
                <c:pt idx="90">
                  <c:v>15051</c:v>
                </c:pt>
                <c:pt idx="91">
                  <c:v>15027.666666666666</c:v>
                </c:pt>
                <c:pt idx="92">
                  <c:v>15543</c:v>
                </c:pt>
                <c:pt idx="93">
                  <c:v>16270</c:v>
                </c:pt>
                <c:pt idx="94">
                  <c:v>16178</c:v>
                </c:pt>
                <c:pt idx="95">
                  <c:v>16066.333333333334</c:v>
                </c:pt>
                <c:pt idx="96">
                  <c:v>16237.666666666666</c:v>
                </c:pt>
                <c:pt idx="97">
                  <c:v>16956.333333333332</c:v>
                </c:pt>
                <c:pt idx="98">
                  <c:v>17033</c:v>
                </c:pt>
                <c:pt idx="99">
                  <c:v>16911.666666666668</c:v>
                </c:pt>
                <c:pt idx="100">
                  <c:v>17066.333333333332</c:v>
                </c:pt>
                <c:pt idx="101">
                  <c:v>17910.333333333332</c:v>
                </c:pt>
                <c:pt idx="102">
                  <c:v>18123.333333333332</c:v>
                </c:pt>
                <c:pt idx="103">
                  <c:v>18142.666666666668</c:v>
                </c:pt>
                <c:pt idx="104">
                  <c:v>18493.666666666668</c:v>
                </c:pt>
                <c:pt idx="105">
                  <c:v>18947.333333333332</c:v>
                </c:pt>
                <c:pt idx="106">
                  <c:v>18885.333333333332</c:v>
                </c:pt>
                <c:pt idx="107">
                  <c:v>18652</c:v>
                </c:pt>
                <c:pt idx="108">
                  <c:v>18681.333333333332</c:v>
                </c:pt>
                <c:pt idx="109">
                  <c:v>19269.666666666668</c:v>
                </c:pt>
                <c:pt idx="110">
                  <c:v>19320</c:v>
                </c:pt>
                <c:pt idx="111">
                  <c:v>19386</c:v>
                </c:pt>
                <c:pt idx="112">
                  <c:v>19537</c:v>
                </c:pt>
                <c:pt idx="113">
                  <c:v>19894.333333333332</c:v>
                </c:pt>
                <c:pt idx="114">
                  <c:v>20677</c:v>
                </c:pt>
                <c:pt idx="115">
                  <c:v>21152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42-4747-9AC2-4AB69C4A8F99}"/>
            </c:ext>
          </c:extLst>
        </c:ser>
        <c:ser>
          <c:idx val="4"/>
          <c:order val="4"/>
          <c:tx>
            <c:strRef>
              <c:f>'Ark4'!$F$2</c:f>
              <c:strCache>
                <c:ptCount val="1"/>
                <c:pt idx="0">
                  <c:v>Condominium (Aarhus)</c:v>
                </c:pt>
              </c:strCache>
            </c:strRef>
          </c:tx>
          <c:spPr>
            <a:ln w="508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'Ark4'!$A$3:$A$118</c:f>
              <c:strCache>
                <c:ptCount val="116"/>
                <c:pt idx="0">
                  <c:v>1992</c:v>
                </c:pt>
                <c:pt idx="1">
                  <c:v>1992K2</c:v>
                </c:pt>
                <c:pt idx="2">
                  <c:v>1992K3</c:v>
                </c:pt>
                <c:pt idx="3">
                  <c:v>1992K4</c:v>
                </c:pt>
                <c:pt idx="4">
                  <c:v>1993</c:v>
                </c:pt>
                <c:pt idx="5">
                  <c:v>1993K2</c:v>
                </c:pt>
                <c:pt idx="6">
                  <c:v>1993K3</c:v>
                </c:pt>
                <c:pt idx="7">
                  <c:v>1993K4</c:v>
                </c:pt>
                <c:pt idx="8">
                  <c:v>1994</c:v>
                </c:pt>
                <c:pt idx="9">
                  <c:v>1994K2</c:v>
                </c:pt>
                <c:pt idx="10">
                  <c:v>1994K3</c:v>
                </c:pt>
                <c:pt idx="11">
                  <c:v>1994K4</c:v>
                </c:pt>
                <c:pt idx="12">
                  <c:v>1995</c:v>
                </c:pt>
                <c:pt idx="13">
                  <c:v>1995K2</c:v>
                </c:pt>
                <c:pt idx="14">
                  <c:v>1995K3</c:v>
                </c:pt>
                <c:pt idx="15">
                  <c:v>1995K4</c:v>
                </c:pt>
                <c:pt idx="16">
                  <c:v>1996</c:v>
                </c:pt>
                <c:pt idx="17">
                  <c:v>1996K2</c:v>
                </c:pt>
                <c:pt idx="18">
                  <c:v>1996K3</c:v>
                </c:pt>
                <c:pt idx="19">
                  <c:v>1996K4</c:v>
                </c:pt>
                <c:pt idx="20">
                  <c:v>1997</c:v>
                </c:pt>
                <c:pt idx="21">
                  <c:v>1997K2</c:v>
                </c:pt>
                <c:pt idx="22">
                  <c:v>1997K3</c:v>
                </c:pt>
                <c:pt idx="23">
                  <c:v>1997K4</c:v>
                </c:pt>
                <c:pt idx="24">
                  <c:v>1998</c:v>
                </c:pt>
                <c:pt idx="25">
                  <c:v>1998K2</c:v>
                </c:pt>
                <c:pt idx="26">
                  <c:v>1998K3</c:v>
                </c:pt>
                <c:pt idx="27">
                  <c:v>1998K4</c:v>
                </c:pt>
                <c:pt idx="28">
                  <c:v>1999</c:v>
                </c:pt>
                <c:pt idx="29">
                  <c:v>1999K2</c:v>
                </c:pt>
                <c:pt idx="30">
                  <c:v>1999K3</c:v>
                </c:pt>
                <c:pt idx="31">
                  <c:v>1999K4</c:v>
                </c:pt>
                <c:pt idx="32">
                  <c:v>2000</c:v>
                </c:pt>
                <c:pt idx="33">
                  <c:v>2000K2</c:v>
                </c:pt>
                <c:pt idx="34">
                  <c:v>2000K3</c:v>
                </c:pt>
                <c:pt idx="35">
                  <c:v>2000K4</c:v>
                </c:pt>
                <c:pt idx="36">
                  <c:v>2001</c:v>
                </c:pt>
                <c:pt idx="37">
                  <c:v>2001K2</c:v>
                </c:pt>
                <c:pt idx="38">
                  <c:v>2001K3</c:v>
                </c:pt>
                <c:pt idx="39">
                  <c:v>2001K4</c:v>
                </c:pt>
                <c:pt idx="40">
                  <c:v>2002</c:v>
                </c:pt>
                <c:pt idx="41">
                  <c:v>2002K2</c:v>
                </c:pt>
                <c:pt idx="42">
                  <c:v>2002K3</c:v>
                </c:pt>
                <c:pt idx="43">
                  <c:v>2002K4</c:v>
                </c:pt>
                <c:pt idx="44">
                  <c:v>2003</c:v>
                </c:pt>
                <c:pt idx="45">
                  <c:v>2003K2</c:v>
                </c:pt>
                <c:pt idx="46">
                  <c:v>2003K3</c:v>
                </c:pt>
                <c:pt idx="47">
                  <c:v>2003K4</c:v>
                </c:pt>
                <c:pt idx="48">
                  <c:v>2004</c:v>
                </c:pt>
                <c:pt idx="49">
                  <c:v>2004K2</c:v>
                </c:pt>
                <c:pt idx="50">
                  <c:v>2004K3</c:v>
                </c:pt>
                <c:pt idx="51">
                  <c:v>2004K4</c:v>
                </c:pt>
                <c:pt idx="52">
                  <c:v>2005</c:v>
                </c:pt>
                <c:pt idx="53">
                  <c:v>2005K2</c:v>
                </c:pt>
                <c:pt idx="54">
                  <c:v>2005K3</c:v>
                </c:pt>
                <c:pt idx="55">
                  <c:v>2005K4</c:v>
                </c:pt>
                <c:pt idx="56">
                  <c:v>2006</c:v>
                </c:pt>
                <c:pt idx="57">
                  <c:v>2006K2</c:v>
                </c:pt>
                <c:pt idx="58">
                  <c:v>2006K3</c:v>
                </c:pt>
                <c:pt idx="59">
                  <c:v>2006K4</c:v>
                </c:pt>
                <c:pt idx="60">
                  <c:v>2007</c:v>
                </c:pt>
                <c:pt idx="61">
                  <c:v>2007K2</c:v>
                </c:pt>
                <c:pt idx="62">
                  <c:v>2007K3</c:v>
                </c:pt>
                <c:pt idx="63">
                  <c:v>2007K4</c:v>
                </c:pt>
                <c:pt idx="64">
                  <c:v>2008</c:v>
                </c:pt>
                <c:pt idx="65">
                  <c:v>2008K2</c:v>
                </c:pt>
                <c:pt idx="66">
                  <c:v>2008K3</c:v>
                </c:pt>
                <c:pt idx="67">
                  <c:v>2008K4</c:v>
                </c:pt>
                <c:pt idx="68">
                  <c:v>2009</c:v>
                </c:pt>
                <c:pt idx="69">
                  <c:v>2009K2</c:v>
                </c:pt>
                <c:pt idx="70">
                  <c:v>2009K3</c:v>
                </c:pt>
                <c:pt idx="71">
                  <c:v>2009K4</c:v>
                </c:pt>
                <c:pt idx="72">
                  <c:v>2010</c:v>
                </c:pt>
                <c:pt idx="73">
                  <c:v>2010K2</c:v>
                </c:pt>
                <c:pt idx="74">
                  <c:v>2010K3</c:v>
                </c:pt>
                <c:pt idx="75">
                  <c:v>2010K4</c:v>
                </c:pt>
                <c:pt idx="76">
                  <c:v>2011</c:v>
                </c:pt>
                <c:pt idx="77">
                  <c:v>2011K2</c:v>
                </c:pt>
                <c:pt idx="78">
                  <c:v>2011K3</c:v>
                </c:pt>
                <c:pt idx="79">
                  <c:v>2011K4</c:v>
                </c:pt>
                <c:pt idx="80">
                  <c:v>2012</c:v>
                </c:pt>
                <c:pt idx="81">
                  <c:v>2012K2</c:v>
                </c:pt>
                <c:pt idx="82">
                  <c:v>2012K3</c:v>
                </c:pt>
                <c:pt idx="83">
                  <c:v>2012K4</c:v>
                </c:pt>
                <c:pt idx="84">
                  <c:v>2013</c:v>
                </c:pt>
                <c:pt idx="85">
                  <c:v>2013K2</c:v>
                </c:pt>
                <c:pt idx="86">
                  <c:v>2013K3</c:v>
                </c:pt>
                <c:pt idx="87">
                  <c:v>2013K4</c:v>
                </c:pt>
                <c:pt idx="88">
                  <c:v>2014</c:v>
                </c:pt>
                <c:pt idx="89">
                  <c:v>2014K2</c:v>
                </c:pt>
                <c:pt idx="90">
                  <c:v>2014K3</c:v>
                </c:pt>
                <c:pt idx="91">
                  <c:v>2014K4</c:v>
                </c:pt>
                <c:pt idx="92">
                  <c:v>2015</c:v>
                </c:pt>
                <c:pt idx="93">
                  <c:v>2015K2</c:v>
                </c:pt>
                <c:pt idx="94">
                  <c:v>2015K3</c:v>
                </c:pt>
                <c:pt idx="95">
                  <c:v>2015K4</c:v>
                </c:pt>
                <c:pt idx="96">
                  <c:v>2016</c:v>
                </c:pt>
                <c:pt idx="97">
                  <c:v>2016K2</c:v>
                </c:pt>
                <c:pt idx="98">
                  <c:v>2016K3</c:v>
                </c:pt>
                <c:pt idx="99">
                  <c:v>2016K4</c:v>
                </c:pt>
                <c:pt idx="100">
                  <c:v>2017</c:v>
                </c:pt>
                <c:pt idx="101">
                  <c:v>2017K2</c:v>
                </c:pt>
                <c:pt idx="102">
                  <c:v>2017K3</c:v>
                </c:pt>
                <c:pt idx="103">
                  <c:v>2017K4</c:v>
                </c:pt>
                <c:pt idx="104">
                  <c:v>2018</c:v>
                </c:pt>
                <c:pt idx="105">
                  <c:v>2018K2</c:v>
                </c:pt>
                <c:pt idx="106">
                  <c:v>2018K3</c:v>
                </c:pt>
                <c:pt idx="107">
                  <c:v>2018K4</c:v>
                </c:pt>
                <c:pt idx="108">
                  <c:v>2019</c:v>
                </c:pt>
                <c:pt idx="109">
                  <c:v>2019K2</c:v>
                </c:pt>
                <c:pt idx="110">
                  <c:v>2019K3</c:v>
                </c:pt>
                <c:pt idx="111">
                  <c:v>2019K4</c:v>
                </c:pt>
                <c:pt idx="112">
                  <c:v>2020</c:v>
                </c:pt>
                <c:pt idx="113">
                  <c:v>2020K2</c:v>
                </c:pt>
                <c:pt idx="114">
                  <c:v>2020K3</c:v>
                </c:pt>
                <c:pt idx="115">
                  <c:v>2020K4</c:v>
                </c:pt>
              </c:strCache>
            </c:strRef>
          </c:cat>
          <c:val>
            <c:numRef>
              <c:f>'Ark4'!$F$3:$F$118</c:f>
              <c:numCache>
                <c:formatCode>General</c:formatCode>
                <c:ptCount val="116"/>
                <c:pt idx="0">
                  <c:v>7439</c:v>
                </c:pt>
                <c:pt idx="1">
                  <c:v>7347</c:v>
                </c:pt>
                <c:pt idx="2">
                  <c:v>7597</c:v>
                </c:pt>
                <c:pt idx="3">
                  <c:v>7151</c:v>
                </c:pt>
                <c:pt idx="4">
                  <c:v>6413</c:v>
                </c:pt>
                <c:pt idx="5">
                  <c:v>7076</c:v>
                </c:pt>
                <c:pt idx="6">
                  <c:v>7544</c:v>
                </c:pt>
                <c:pt idx="7">
                  <c:v>7326</c:v>
                </c:pt>
                <c:pt idx="8">
                  <c:v>7690</c:v>
                </c:pt>
                <c:pt idx="9">
                  <c:v>7430</c:v>
                </c:pt>
                <c:pt idx="10">
                  <c:v>7680</c:v>
                </c:pt>
                <c:pt idx="11">
                  <c:v>7519</c:v>
                </c:pt>
                <c:pt idx="12">
                  <c:v>7377</c:v>
                </c:pt>
                <c:pt idx="13">
                  <c:v>8073</c:v>
                </c:pt>
                <c:pt idx="14">
                  <c:v>8453</c:v>
                </c:pt>
                <c:pt idx="15">
                  <c:v>8406</c:v>
                </c:pt>
                <c:pt idx="16">
                  <c:v>8620</c:v>
                </c:pt>
                <c:pt idx="17">
                  <c:v>9303</c:v>
                </c:pt>
                <c:pt idx="18">
                  <c:v>9726</c:v>
                </c:pt>
                <c:pt idx="19">
                  <c:v>9648</c:v>
                </c:pt>
                <c:pt idx="20">
                  <c:v>10447</c:v>
                </c:pt>
                <c:pt idx="21">
                  <c:v>10324</c:v>
                </c:pt>
                <c:pt idx="22">
                  <c:v>10941</c:v>
                </c:pt>
                <c:pt idx="23">
                  <c:v>10619</c:v>
                </c:pt>
                <c:pt idx="24">
                  <c:v>11170</c:v>
                </c:pt>
                <c:pt idx="25">
                  <c:v>11693</c:v>
                </c:pt>
                <c:pt idx="26">
                  <c:v>12575</c:v>
                </c:pt>
                <c:pt idx="27">
                  <c:v>11919</c:v>
                </c:pt>
                <c:pt idx="28">
                  <c:v>12018</c:v>
                </c:pt>
                <c:pt idx="29">
                  <c:v>12803</c:v>
                </c:pt>
                <c:pt idx="30">
                  <c:v>12842</c:v>
                </c:pt>
                <c:pt idx="31">
                  <c:v>12931</c:v>
                </c:pt>
                <c:pt idx="32">
                  <c:v>12246</c:v>
                </c:pt>
                <c:pt idx="33">
                  <c:v>13193</c:v>
                </c:pt>
                <c:pt idx="34">
                  <c:v>13760</c:v>
                </c:pt>
                <c:pt idx="35">
                  <c:v>12907</c:v>
                </c:pt>
                <c:pt idx="36">
                  <c:v>13564</c:v>
                </c:pt>
                <c:pt idx="37">
                  <c:v>13978</c:v>
                </c:pt>
                <c:pt idx="38">
                  <c:v>14674</c:v>
                </c:pt>
                <c:pt idx="39">
                  <c:v>13795</c:v>
                </c:pt>
                <c:pt idx="40">
                  <c:v>14068</c:v>
                </c:pt>
                <c:pt idx="41">
                  <c:v>14577</c:v>
                </c:pt>
                <c:pt idx="42">
                  <c:v>14597</c:v>
                </c:pt>
                <c:pt idx="43">
                  <c:v>14419</c:v>
                </c:pt>
                <c:pt idx="44">
                  <c:v>15674</c:v>
                </c:pt>
                <c:pt idx="45">
                  <c:v>16140</c:v>
                </c:pt>
                <c:pt idx="46">
                  <c:v>17148</c:v>
                </c:pt>
                <c:pt idx="47">
                  <c:v>17006</c:v>
                </c:pt>
                <c:pt idx="48">
                  <c:v>17539</c:v>
                </c:pt>
                <c:pt idx="49">
                  <c:v>19602</c:v>
                </c:pt>
                <c:pt idx="50">
                  <c:v>21301</c:v>
                </c:pt>
                <c:pt idx="51">
                  <c:v>22112</c:v>
                </c:pt>
                <c:pt idx="52">
                  <c:v>23067</c:v>
                </c:pt>
                <c:pt idx="53">
                  <c:v>24810</c:v>
                </c:pt>
                <c:pt idx="54">
                  <c:v>27374</c:v>
                </c:pt>
                <c:pt idx="55">
                  <c:v>27924</c:v>
                </c:pt>
                <c:pt idx="56">
                  <c:v>29518</c:v>
                </c:pt>
                <c:pt idx="57">
                  <c:v>30561</c:v>
                </c:pt>
                <c:pt idx="58">
                  <c:v>30509</c:v>
                </c:pt>
                <c:pt idx="59">
                  <c:v>29106</c:v>
                </c:pt>
                <c:pt idx="60">
                  <c:v>28562</c:v>
                </c:pt>
                <c:pt idx="61">
                  <c:v>27789</c:v>
                </c:pt>
                <c:pt idx="62">
                  <c:v>26530</c:v>
                </c:pt>
                <c:pt idx="63">
                  <c:v>25343</c:v>
                </c:pt>
                <c:pt idx="64">
                  <c:v>25221</c:v>
                </c:pt>
                <c:pt idx="65">
                  <c:v>25546</c:v>
                </c:pt>
                <c:pt idx="66">
                  <c:v>24585</c:v>
                </c:pt>
                <c:pt idx="67">
                  <c:v>22132</c:v>
                </c:pt>
                <c:pt idx="68">
                  <c:v>21935</c:v>
                </c:pt>
                <c:pt idx="69">
                  <c:v>23010</c:v>
                </c:pt>
                <c:pt idx="70">
                  <c:v>23440</c:v>
                </c:pt>
                <c:pt idx="71">
                  <c:v>24221</c:v>
                </c:pt>
                <c:pt idx="72">
                  <c:v>25202</c:v>
                </c:pt>
                <c:pt idx="73">
                  <c:v>25322</c:v>
                </c:pt>
                <c:pt idx="74">
                  <c:v>25267</c:v>
                </c:pt>
                <c:pt idx="75">
                  <c:v>25576</c:v>
                </c:pt>
                <c:pt idx="76">
                  <c:v>26148</c:v>
                </c:pt>
                <c:pt idx="77">
                  <c:v>26679</c:v>
                </c:pt>
                <c:pt idx="78">
                  <c:v>25338</c:v>
                </c:pt>
                <c:pt idx="79">
                  <c:v>24881</c:v>
                </c:pt>
                <c:pt idx="80">
                  <c:v>24593</c:v>
                </c:pt>
                <c:pt idx="81">
                  <c:v>24861</c:v>
                </c:pt>
                <c:pt idx="82">
                  <c:v>25372</c:v>
                </c:pt>
                <c:pt idx="83">
                  <c:v>25534</c:v>
                </c:pt>
                <c:pt idx="84">
                  <c:v>26637</c:v>
                </c:pt>
                <c:pt idx="85">
                  <c:v>27035</c:v>
                </c:pt>
                <c:pt idx="86">
                  <c:v>27657</c:v>
                </c:pt>
                <c:pt idx="87">
                  <c:v>26789</c:v>
                </c:pt>
                <c:pt idx="88">
                  <c:v>27223</c:v>
                </c:pt>
                <c:pt idx="89">
                  <c:v>28561</c:v>
                </c:pt>
                <c:pt idx="90">
                  <c:v>28807</c:v>
                </c:pt>
                <c:pt idx="91">
                  <c:v>28242</c:v>
                </c:pt>
                <c:pt idx="92">
                  <c:v>29323</c:v>
                </c:pt>
                <c:pt idx="93">
                  <c:v>30851</c:v>
                </c:pt>
                <c:pt idx="94">
                  <c:v>31410</c:v>
                </c:pt>
                <c:pt idx="95">
                  <c:v>31354</c:v>
                </c:pt>
                <c:pt idx="96">
                  <c:v>32792</c:v>
                </c:pt>
                <c:pt idx="97">
                  <c:v>33697</c:v>
                </c:pt>
                <c:pt idx="98">
                  <c:v>33303</c:v>
                </c:pt>
                <c:pt idx="99">
                  <c:v>33262</c:v>
                </c:pt>
                <c:pt idx="100">
                  <c:v>34555</c:v>
                </c:pt>
                <c:pt idx="101">
                  <c:v>34591</c:v>
                </c:pt>
                <c:pt idx="102">
                  <c:v>35046</c:v>
                </c:pt>
                <c:pt idx="103">
                  <c:v>34909</c:v>
                </c:pt>
                <c:pt idx="104">
                  <c:v>36300</c:v>
                </c:pt>
                <c:pt idx="105">
                  <c:v>35876</c:v>
                </c:pt>
                <c:pt idx="106">
                  <c:v>36630</c:v>
                </c:pt>
                <c:pt idx="107">
                  <c:v>35165</c:v>
                </c:pt>
                <c:pt idx="108">
                  <c:v>35695</c:v>
                </c:pt>
                <c:pt idx="109">
                  <c:v>36348</c:v>
                </c:pt>
                <c:pt idx="110">
                  <c:v>35561</c:v>
                </c:pt>
                <c:pt idx="111">
                  <c:v>36203</c:v>
                </c:pt>
                <c:pt idx="112">
                  <c:v>36878</c:v>
                </c:pt>
                <c:pt idx="113">
                  <c:v>36804</c:v>
                </c:pt>
                <c:pt idx="114">
                  <c:v>38538</c:v>
                </c:pt>
                <c:pt idx="115">
                  <c:v>38574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D42-4747-9AC2-4AB69C4A8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965167"/>
        <c:axId val="1537347567"/>
      </c:lineChart>
      <c:catAx>
        <c:axId val="15719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1537347567"/>
        <c:crosses val="autoZero"/>
        <c:auto val="1"/>
        <c:lblAlgn val="ctr"/>
        <c:lblOffset val="100"/>
        <c:tickLblSkip val="8"/>
        <c:tickMarkSkip val="4"/>
        <c:noMultiLvlLbl val="0"/>
      </c:catAx>
      <c:valAx>
        <c:axId val="1537347567"/>
        <c:scaling>
          <c:orientation val="minMax"/>
          <c:max val="40000"/>
          <c:min val="0"/>
        </c:scaling>
        <c:delete val="0"/>
        <c:axPos val="r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1571965167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'Ark1'!$B$1</c:f>
              <c:strCache>
                <c:ptCount val="1"/>
                <c:pt idx="0">
                  <c:v>Number of condominiums sold 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'Ark1'!$B$2:$B$69</c:f>
              <c:numCache>
                <c:formatCode>General</c:formatCode>
                <c:ptCount val="68"/>
                <c:pt idx="0">
                  <c:v>203</c:v>
                </c:pt>
                <c:pt idx="1">
                  <c:v>164</c:v>
                </c:pt>
                <c:pt idx="2">
                  <c:v>116</c:v>
                </c:pt>
                <c:pt idx="3">
                  <c:v>133</c:v>
                </c:pt>
                <c:pt idx="4">
                  <c:v>171</c:v>
                </c:pt>
                <c:pt idx="5">
                  <c:v>175</c:v>
                </c:pt>
                <c:pt idx="6">
                  <c:v>227</c:v>
                </c:pt>
                <c:pt idx="7">
                  <c:v>156</c:v>
                </c:pt>
                <c:pt idx="8">
                  <c:v>191</c:v>
                </c:pt>
                <c:pt idx="9">
                  <c:v>145</c:v>
                </c:pt>
                <c:pt idx="10">
                  <c:v>129</c:v>
                </c:pt>
                <c:pt idx="11">
                  <c:v>85</c:v>
                </c:pt>
                <c:pt idx="12">
                  <c:v>121</c:v>
                </c:pt>
                <c:pt idx="13">
                  <c:v>163</c:v>
                </c:pt>
                <c:pt idx="14">
                  <c:v>183</c:v>
                </c:pt>
                <c:pt idx="15">
                  <c:v>139</c:v>
                </c:pt>
                <c:pt idx="16">
                  <c:v>167</c:v>
                </c:pt>
                <c:pt idx="17">
                  <c:v>162</c:v>
                </c:pt>
                <c:pt idx="18">
                  <c:v>126</c:v>
                </c:pt>
                <c:pt idx="19">
                  <c:v>69</c:v>
                </c:pt>
                <c:pt idx="20">
                  <c:v>79</c:v>
                </c:pt>
                <c:pt idx="21">
                  <c:v>172</c:v>
                </c:pt>
                <c:pt idx="22">
                  <c:v>153</c:v>
                </c:pt>
                <c:pt idx="23">
                  <c:v>135</c:v>
                </c:pt>
                <c:pt idx="24">
                  <c:v>143</c:v>
                </c:pt>
                <c:pt idx="25">
                  <c:v>185</c:v>
                </c:pt>
                <c:pt idx="26">
                  <c:v>183</c:v>
                </c:pt>
                <c:pt idx="27">
                  <c:v>148</c:v>
                </c:pt>
                <c:pt idx="28">
                  <c:v>142</c:v>
                </c:pt>
                <c:pt idx="29">
                  <c:v>107</c:v>
                </c:pt>
                <c:pt idx="30">
                  <c:v>137</c:v>
                </c:pt>
                <c:pt idx="31">
                  <c:v>123</c:v>
                </c:pt>
                <c:pt idx="32">
                  <c:v>113</c:v>
                </c:pt>
                <c:pt idx="33">
                  <c:v>142</c:v>
                </c:pt>
                <c:pt idx="34">
                  <c:v>163</c:v>
                </c:pt>
                <c:pt idx="35">
                  <c:v>134</c:v>
                </c:pt>
                <c:pt idx="36">
                  <c:v>129</c:v>
                </c:pt>
                <c:pt idx="37">
                  <c:v>145</c:v>
                </c:pt>
                <c:pt idx="38">
                  <c:v>155</c:v>
                </c:pt>
                <c:pt idx="39">
                  <c:v>112</c:v>
                </c:pt>
                <c:pt idx="40">
                  <c:v>143</c:v>
                </c:pt>
                <c:pt idx="41">
                  <c:v>166</c:v>
                </c:pt>
                <c:pt idx="42">
                  <c:v>204</c:v>
                </c:pt>
                <c:pt idx="43">
                  <c:v>173</c:v>
                </c:pt>
                <c:pt idx="44">
                  <c:v>241</c:v>
                </c:pt>
                <c:pt idx="45">
                  <c:v>292</c:v>
                </c:pt>
                <c:pt idx="46">
                  <c:v>225</c:v>
                </c:pt>
                <c:pt idx="47">
                  <c:v>185</c:v>
                </c:pt>
                <c:pt idx="48">
                  <c:v>182</c:v>
                </c:pt>
                <c:pt idx="49">
                  <c:v>234</c:v>
                </c:pt>
                <c:pt idx="50">
                  <c:v>236</c:v>
                </c:pt>
                <c:pt idx="51">
                  <c:v>177</c:v>
                </c:pt>
                <c:pt idx="52">
                  <c:v>199</c:v>
                </c:pt>
                <c:pt idx="53">
                  <c:v>250</c:v>
                </c:pt>
                <c:pt idx="54">
                  <c:v>200</c:v>
                </c:pt>
                <c:pt idx="55">
                  <c:v>193</c:v>
                </c:pt>
                <c:pt idx="56">
                  <c:v>163</c:v>
                </c:pt>
                <c:pt idx="57">
                  <c:v>240</c:v>
                </c:pt>
                <c:pt idx="58">
                  <c:v>231</c:v>
                </c:pt>
                <c:pt idx="59">
                  <c:v>171</c:v>
                </c:pt>
                <c:pt idx="60">
                  <c:v>217</c:v>
                </c:pt>
                <c:pt idx="61">
                  <c:v>220</c:v>
                </c:pt>
                <c:pt idx="62">
                  <c:v>254</c:v>
                </c:pt>
                <c:pt idx="63">
                  <c:v>235</c:v>
                </c:pt>
                <c:pt idx="64">
                  <c:v>218</c:v>
                </c:pt>
                <c:pt idx="65">
                  <c:v>264</c:v>
                </c:pt>
                <c:pt idx="66">
                  <c:v>262</c:v>
                </c:pt>
                <c:pt idx="67">
                  <c:v>279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50-7144-946C-99D24B6B7E41}"/>
            </c:ext>
          </c:extLst>
        </c:ser>
        <c:ser>
          <c:idx val="1"/>
          <c:order val="1"/>
          <c:tx>
            <c:strRef>
              <c:f>'Ark1'!$C$1</c:f>
              <c:strCache>
                <c:ptCount val="1"/>
                <c:pt idx="0">
                  <c:v>Number of condominiums for sale (ultimo)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'Ark1'!$A$2:$A$69</c:f>
              <c:strCache>
                <c:ptCount val="68"/>
                <c:pt idx="0">
                  <c:v>2004</c:v>
                </c:pt>
                <c:pt idx="1">
                  <c:v>2004K2</c:v>
                </c:pt>
                <c:pt idx="2">
                  <c:v>2004K3</c:v>
                </c:pt>
                <c:pt idx="3">
                  <c:v>2004K4</c:v>
                </c:pt>
                <c:pt idx="4">
                  <c:v>2005</c:v>
                </c:pt>
                <c:pt idx="5">
                  <c:v>2005K2</c:v>
                </c:pt>
                <c:pt idx="6">
                  <c:v>2005K3</c:v>
                </c:pt>
                <c:pt idx="7">
                  <c:v>2005K4</c:v>
                </c:pt>
                <c:pt idx="8">
                  <c:v>2006</c:v>
                </c:pt>
                <c:pt idx="9">
                  <c:v>2006K2</c:v>
                </c:pt>
                <c:pt idx="10">
                  <c:v>2006K3</c:v>
                </c:pt>
                <c:pt idx="11">
                  <c:v>2006K4</c:v>
                </c:pt>
                <c:pt idx="12">
                  <c:v>2007</c:v>
                </c:pt>
                <c:pt idx="13">
                  <c:v>2007K2</c:v>
                </c:pt>
                <c:pt idx="14">
                  <c:v>2007K3</c:v>
                </c:pt>
                <c:pt idx="15">
                  <c:v>2007K4</c:v>
                </c:pt>
                <c:pt idx="16">
                  <c:v>2008</c:v>
                </c:pt>
                <c:pt idx="17">
                  <c:v>2008K2</c:v>
                </c:pt>
                <c:pt idx="18">
                  <c:v>2008K3</c:v>
                </c:pt>
                <c:pt idx="19">
                  <c:v>2008K4</c:v>
                </c:pt>
                <c:pt idx="20">
                  <c:v>2009</c:v>
                </c:pt>
                <c:pt idx="21">
                  <c:v>2009K2</c:v>
                </c:pt>
                <c:pt idx="22">
                  <c:v>2009K3</c:v>
                </c:pt>
                <c:pt idx="23">
                  <c:v>2009K4</c:v>
                </c:pt>
                <c:pt idx="24">
                  <c:v>2010</c:v>
                </c:pt>
                <c:pt idx="25">
                  <c:v>2010K2</c:v>
                </c:pt>
                <c:pt idx="26">
                  <c:v>2010K3</c:v>
                </c:pt>
                <c:pt idx="27">
                  <c:v>2010K4</c:v>
                </c:pt>
                <c:pt idx="28">
                  <c:v>2011</c:v>
                </c:pt>
                <c:pt idx="29">
                  <c:v>2011K2</c:v>
                </c:pt>
                <c:pt idx="30">
                  <c:v>2011K3</c:v>
                </c:pt>
                <c:pt idx="31">
                  <c:v>2011K4</c:v>
                </c:pt>
                <c:pt idx="32">
                  <c:v>2012</c:v>
                </c:pt>
                <c:pt idx="33">
                  <c:v>2012K2</c:v>
                </c:pt>
                <c:pt idx="34">
                  <c:v>2012K3</c:v>
                </c:pt>
                <c:pt idx="35">
                  <c:v>2012K4</c:v>
                </c:pt>
                <c:pt idx="36">
                  <c:v>2013</c:v>
                </c:pt>
                <c:pt idx="37">
                  <c:v>2013K2</c:v>
                </c:pt>
                <c:pt idx="38">
                  <c:v>2013K3</c:v>
                </c:pt>
                <c:pt idx="39">
                  <c:v>2013K4</c:v>
                </c:pt>
                <c:pt idx="40">
                  <c:v>2014</c:v>
                </c:pt>
                <c:pt idx="41">
                  <c:v>2014K2</c:v>
                </c:pt>
                <c:pt idx="42">
                  <c:v>2014K3</c:v>
                </c:pt>
                <c:pt idx="43">
                  <c:v>2014K4</c:v>
                </c:pt>
                <c:pt idx="44">
                  <c:v>2015</c:v>
                </c:pt>
                <c:pt idx="45">
                  <c:v>2015K2</c:v>
                </c:pt>
                <c:pt idx="46">
                  <c:v>2015K3</c:v>
                </c:pt>
                <c:pt idx="47">
                  <c:v>2015K4</c:v>
                </c:pt>
                <c:pt idx="48">
                  <c:v>2016</c:v>
                </c:pt>
                <c:pt idx="49">
                  <c:v>2016K2</c:v>
                </c:pt>
                <c:pt idx="50">
                  <c:v>2016K3</c:v>
                </c:pt>
                <c:pt idx="51">
                  <c:v>2016K4</c:v>
                </c:pt>
                <c:pt idx="52">
                  <c:v>2017</c:v>
                </c:pt>
                <c:pt idx="53">
                  <c:v>2017K2</c:v>
                </c:pt>
                <c:pt idx="54">
                  <c:v>2017K3</c:v>
                </c:pt>
                <c:pt idx="55">
                  <c:v>2017K4</c:v>
                </c:pt>
                <c:pt idx="56">
                  <c:v>2018</c:v>
                </c:pt>
                <c:pt idx="57">
                  <c:v>2018K2</c:v>
                </c:pt>
                <c:pt idx="58">
                  <c:v>2018K3</c:v>
                </c:pt>
                <c:pt idx="59">
                  <c:v>2018K4</c:v>
                </c:pt>
                <c:pt idx="60">
                  <c:v>2019</c:v>
                </c:pt>
                <c:pt idx="61">
                  <c:v>2019K2</c:v>
                </c:pt>
                <c:pt idx="62">
                  <c:v>2019K3</c:v>
                </c:pt>
                <c:pt idx="63">
                  <c:v>2019K4</c:v>
                </c:pt>
                <c:pt idx="64">
                  <c:v>2020</c:v>
                </c:pt>
                <c:pt idx="65">
                  <c:v>2020K2</c:v>
                </c:pt>
                <c:pt idx="66">
                  <c:v>2020K3</c:v>
                </c:pt>
                <c:pt idx="67">
                  <c:v>2020K4</c:v>
                </c:pt>
              </c:strCache>
            </c:strRef>
          </c:cat>
          <c:val>
            <c:numRef>
              <c:f>'Ark1'!$C$2:$C$69</c:f>
              <c:numCache>
                <c:formatCode>General</c:formatCode>
                <c:ptCount val="68"/>
                <c:pt idx="0">
                  <c:v>91</c:v>
                </c:pt>
                <c:pt idx="1">
                  <c:v>131</c:v>
                </c:pt>
                <c:pt idx="2">
                  <c:v>150</c:v>
                </c:pt>
                <c:pt idx="3">
                  <c:v>144</c:v>
                </c:pt>
                <c:pt idx="4">
                  <c:v>144</c:v>
                </c:pt>
                <c:pt idx="5">
                  <c:v>234</c:v>
                </c:pt>
                <c:pt idx="6">
                  <c:v>230</c:v>
                </c:pt>
                <c:pt idx="7">
                  <c:v>249</c:v>
                </c:pt>
                <c:pt idx="8">
                  <c:v>283</c:v>
                </c:pt>
                <c:pt idx="9">
                  <c:v>447</c:v>
                </c:pt>
                <c:pt idx="10">
                  <c:v>589</c:v>
                </c:pt>
                <c:pt idx="11">
                  <c:v>605</c:v>
                </c:pt>
                <c:pt idx="12">
                  <c:v>610</c:v>
                </c:pt>
                <c:pt idx="13">
                  <c:v>676</c:v>
                </c:pt>
                <c:pt idx="14">
                  <c:v>643</c:v>
                </c:pt>
                <c:pt idx="15">
                  <c:v>559</c:v>
                </c:pt>
                <c:pt idx="16">
                  <c:v>467</c:v>
                </c:pt>
                <c:pt idx="17">
                  <c:v>487</c:v>
                </c:pt>
                <c:pt idx="18">
                  <c:v>495</c:v>
                </c:pt>
                <c:pt idx="19">
                  <c:v>449</c:v>
                </c:pt>
                <c:pt idx="20">
                  <c:v>377</c:v>
                </c:pt>
                <c:pt idx="21">
                  <c:v>310</c:v>
                </c:pt>
                <c:pt idx="22">
                  <c:v>298</c:v>
                </c:pt>
                <c:pt idx="23">
                  <c:v>292</c:v>
                </c:pt>
                <c:pt idx="24">
                  <c:v>320</c:v>
                </c:pt>
                <c:pt idx="25">
                  <c:v>381</c:v>
                </c:pt>
                <c:pt idx="26">
                  <c:v>351</c:v>
                </c:pt>
                <c:pt idx="27">
                  <c:v>316</c:v>
                </c:pt>
                <c:pt idx="28">
                  <c:v>367</c:v>
                </c:pt>
                <c:pt idx="29">
                  <c:v>529</c:v>
                </c:pt>
                <c:pt idx="30">
                  <c:v>563</c:v>
                </c:pt>
                <c:pt idx="31">
                  <c:v>417</c:v>
                </c:pt>
                <c:pt idx="32">
                  <c:v>349</c:v>
                </c:pt>
                <c:pt idx="33">
                  <c:v>343</c:v>
                </c:pt>
                <c:pt idx="34">
                  <c:v>338</c:v>
                </c:pt>
                <c:pt idx="35">
                  <c:v>309</c:v>
                </c:pt>
                <c:pt idx="36">
                  <c:v>311</c:v>
                </c:pt>
                <c:pt idx="37">
                  <c:v>351</c:v>
                </c:pt>
                <c:pt idx="38">
                  <c:v>349</c:v>
                </c:pt>
                <c:pt idx="39">
                  <c:v>311</c:v>
                </c:pt>
                <c:pt idx="40">
                  <c:v>316</c:v>
                </c:pt>
                <c:pt idx="41">
                  <c:v>361</c:v>
                </c:pt>
                <c:pt idx="42">
                  <c:v>378</c:v>
                </c:pt>
                <c:pt idx="43">
                  <c:v>290</c:v>
                </c:pt>
                <c:pt idx="44">
                  <c:v>240</c:v>
                </c:pt>
                <c:pt idx="45">
                  <c:v>261</c:v>
                </c:pt>
                <c:pt idx="46">
                  <c:v>315</c:v>
                </c:pt>
                <c:pt idx="47">
                  <c:v>273</c:v>
                </c:pt>
                <c:pt idx="48">
                  <c:v>290</c:v>
                </c:pt>
                <c:pt idx="49">
                  <c:v>370</c:v>
                </c:pt>
                <c:pt idx="50">
                  <c:v>375</c:v>
                </c:pt>
                <c:pt idx="51">
                  <c:v>323</c:v>
                </c:pt>
                <c:pt idx="52">
                  <c:v>309</c:v>
                </c:pt>
                <c:pt idx="53">
                  <c:v>319</c:v>
                </c:pt>
                <c:pt idx="54">
                  <c:v>353</c:v>
                </c:pt>
                <c:pt idx="55">
                  <c:v>340</c:v>
                </c:pt>
                <c:pt idx="56">
                  <c:v>427</c:v>
                </c:pt>
                <c:pt idx="57">
                  <c:v>507</c:v>
                </c:pt>
                <c:pt idx="58">
                  <c:v>509</c:v>
                </c:pt>
                <c:pt idx="59">
                  <c:v>484</c:v>
                </c:pt>
                <c:pt idx="60">
                  <c:v>507</c:v>
                </c:pt>
                <c:pt idx="61">
                  <c:v>537</c:v>
                </c:pt>
                <c:pt idx="62">
                  <c:v>513</c:v>
                </c:pt>
                <c:pt idx="63">
                  <c:v>402</c:v>
                </c:pt>
                <c:pt idx="64">
                  <c:v>365</c:v>
                </c:pt>
                <c:pt idx="65">
                  <c:v>361</c:v>
                </c:pt>
                <c:pt idx="66">
                  <c:v>333</c:v>
                </c:pt>
                <c:pt idx="67">
                  <c:v>251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50-7144-946C-99D24B6B7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8342559"/>
        <c:axId val="2005880335"/>
      </c:lineChart>
      <c:catAx>
        <c:axId val="1538342559"/>
        <c:scaling>
          <c:orientation val="minMax"/>
        </c:scaling>
        <c:delete val="0"/>
        <c:axPos val="b"/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2005880335"/>
        <c:crosses val="autoZero"/>
        <c:auto val="1"/>
        <c:lblAlgn val="ctr"/>
        <c:lblOffset val="100"/>
        <c:tickLblSkip val="4"/>
        <c:noMultiLvlLbl val="0"/>
      </c:catAx>
      <c:valAx>
        <c:axId val="2005880335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 panose="02040503050406030204" pitchFamily="18" charset="0"/>
                <a:ea typeface="+mn-ea"/>
                <a:cs typeface="+mn-cs"/>
              </a:defRPr>
            </a:pPr>
            <a:endParaRPr lang="en-DK"/>
          </a:p>
        </c:txPr>
        <c:crossAx val="153834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" panose="02040503050406030204" pitchFamily="18" charset="0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514119</xdr:colOff>
      <xdr:row>3</xdr:row>
      <xdr:rowOff>28460</xdr:rowOff>
    </xdr:from>
    <xdr:to>
      <xdr:col>28</xdr:col>
      <xdr:colOff>15302</xdr:colOff>
      <xdr:row>47</xdr:row>
      <xdr:rowOff>45903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BF4C1954-B947-434A-B5CA-1DCF19396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2</xdr:row>
      <xdr:rowOff>133350</xdr:rowOff>
    </xdr:from>
    <xdr:to>
      <xdr:col>6</xdr:col>
      <xdr:colOff>1231900</xdr:colOff>
      <xdr:row>34</xdr:row>
      <xdr:rowOff>127000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46E2623-14ED-2D40-8EF6-74E3AE935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0</xdr:row>
      <xdr:rowOff>31750</xdr:rowOff>
    </xdr:from>
    <xdr:to>
      <xdr:col>17</xdr:col>
      <xdr:colOff>596900</xdr:colOff>
      <xdr:row>30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89DE0431-92D1-C845-B484-918504E98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304800</xdr:colOff>
      <xdr:row>33</xdr:row>
      <xdr:rowOff>152400</xdr:rowOff>
    </xdr:from>
    <xdr:to>
      <xdr:col>19</xdr:col>
      <xdr:colOff>596900</xdr:colOff>
      <xdr:row>72</xdr:row>
      <xdr:rowOff>165100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73D1D75-F69D-F746-8A57-8F643A0DB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196850</xdr:colOff>
      <xdr:row>79</xdr:row>
      <xdr:rowOff>146050</xdr:rowOff>
    </xdr:from>
    <xdr:to>
      <xdr:col>22</xdr:col>
      <xdr:colOff>694267</xdr:colOff>
      <xdr:row>120</xdr:row>
      <xdr:rowOff>84667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52C7499-4A7D-A948-A21A-2CC86AB3DD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631817</xdr:colOff>
      <xdr:row>13</xdr:row>
      <xdr:rowOff>33422</xdr:rowOff>
    </xdr:from>
    <xdr:to>
      <xdr:col>17</xdr:col>
      <xdr:colOff>7690</xdr:colOff>
      <xdr:row>56</xdr:row>
      <xdr:rowOff>151993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ADE7A312-2262-064C-AEC7-5A49F6F8C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20288</xdr:colOff>
      <xdr:row>13</xdr:row>
      <xdr:rowOff>8168</xdr:rowOff>
    </xdr:from>
    <xdr:to>
      <xdr:col>32</xdr:col>
      <xdr:colOff>618669</xdr:colOff>
      <xdr:row>56</xdr:row>
      <xdr:rowOff>126739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88A7BA33-D35E-CF45-91E6-06FE846FF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13656</xdr:colOff>
      <xdr:row>75</xdr:row>
      <xdr:rowOff>63500</xdr:rowOff>
    </xdr:from>
    <xdr:to>
      <xdr:col>51</xdr:col>
      <xdr:colOff>247867</xdr:colOff>
      <xdr:row>114</xdr:row>
      <xdr:rowOff>162974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2B06BCBD-0FB8-2344-86F4-B5A097285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9021</xdr:colOff>
      <xdr:row>35</xdr:row>
      <xdr:rowOff>133685</xdr:rowOff>
    </xdr:from>
    <xdr:to>
      <xdr:col>51</xdr:col>
      <xdr:colOff>242520</xdr:colOff>
      <xdr:row>75</xdr:row>
      <xdr:rowOff>32632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C2A4A0A1-B25C-1640-93D6-A9315BE19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4"/>
  <sheetViews>
    <sheetView zoomScale="88" workbookViewId="0">
      <selection activeCell="L56" sqref="L56"/>
    </sheetView>
  </sheetViews>
  <sheetFormatPr baseColWidth="10" defaultColWidth="8.83203125" defaultRowHeight="15" x14ac:dyDescent="0.2"/>
  <cols>
    <col min="1" max="1" width="22.6640625" customWidth="1"/>
    <col min="2" max="2" width="19" hidden="1" customWidth="1"/>
    <col min="3" max="3" width="14.1640625" hidden="1" customWidth="1"/>
    <col min="4" max="4" width="21.1640625" customWidth="1"/>
    <col min="5" max="5" width="18.1640625" customWidth="1"/>
    <col min="6" max="6" width="16" customWidth="1"/>
    <col min="7" max="8" width="9.1640625" customWidth="1"/>
    <col min="9" max="9" width="14.83203125" customWidth="1"/>
    <col min="10" max="54" width="9.1640625" customWidth="1"/>
  </cols>
  <sheetData>
    <row r="1" spans="1:9" x14ac:dyDescent="0.2">
      <c r="B1" s="8" t="s">
        <v>0</v>
      </c>
      <c r="C1" s="9" t="s">
        <v>52</v>
      </c>
      <c r="D1" s="8" t="s">
        <v>54</v>
      </c>
      <c r="E1" s="8" t="s">
        <v>55</v>
      </c>
      <c r="F1" s="3" t="s">
        <v>56</v>
      </c>
      <c r="G1" s="8" t="s">
        <v>57</v>
      </c>
      <c r="H1" s="8" t="s">
        <v>58</v>
      </c>
      <c r="I1" s="8" t="s">
        <v>59</v>
      </c>
    </row>
    <row r="2" spans="1:9" x14ac:dyDescent="0.2">
      <c r="A2" s="1" t="s">
        <v>1</v>
      </c>
      <c r="B2" s="2">
        <v>25221</v>
      </c>
      <c r="C2" s="4">
        <v>432.8</v>
      </c>
      <c r="D2">
        <v>167</v>
      </c>
      <c r="E2" s="4">
        <v>467</v>
      </c>
      <c r="F2" s="4">
        <v>191</v>
      </c>
      <c r="H2" s="12">
        <v>89.066666666666663</v>
      </c>
      <c r="I2" s="13">
        <v>6.1666666699999997</v>
      </c>
    </row>
    <row r="3" spans="1:9" x14ac:dyDescent="0.2">
      <c r="A3" s="1" t="s">
        <v>2</v>
      </c>
      <c r="B3" s="2">
        <v>25546</v>
      </c>
      <c r="C3" s="4">
        <v>456.7</v>
      </c>
      <c r="D3">
        <v>162</v>
      </c>
      <c r="E3" s="4">
        <v>487</v>
      </c>
      <c r="F3" s="4">
        <v>169</v>
      </c>
      <c r="H3" s="12">
        <v>90.266666666666666</v>
      </c>
      <c r="I3" s="13">
        <v>4.9000000000000004</v>
      </c>
    </row>
    <row r="4" spans="1:9" x14ac:dyDescent="0.2">
      <c r="A4" s="1" t="s">
        <v>3</v>
      </c>
      <c r="B4" s="2">
        <v>24585</v>
      </c>
      <c r="C4" s="4">
        <v>454.3</v>
      </c>
      <c r="D4">
        <v>126</v>
      </c>
      <c r="E4" s="4">
        <v>495</v>
      </c>
      <c r="F4" s="4">
        <v>145</v>
      </c>
      <c r="H4" s="12">
        <v>90.5</v>
      </c>
      <c r="I4" s="13">
        <v>4.5333333299999996</v>
      </c>
    </row>
    <row r="5" spans="1:9" x14ac:dyDescent="0.2">
      <c r="A5" s="1" t="s">
        <v>4</v>
      </c>
      <c r="B5" s="2">
        <v>22132</v>
      </c>
      <c r="C5" s="4">
        <v>457.7</v>
      </c>
      <c r="D5">
        <v>69</v>
      </c>
      <c r="E5" s="4">
        <v>449</v>
      </c>
      <c r="F5" s="4">
        <v>171</v>
      </c>
      <c r="H5" s="12">
        <v>90.40000000000002</v>
      </c>
      <c r="I5" s="13">
        <v>5.7</v>
      </c>
    </row>
    <row r="6" spans="1:9" x14ac:dyDescent="0.2">
      <c r="A6" s="1" t="s">
        <v>5</v>
      </c>
      <c r="B6" s="2">
        <v>21935</v>
      </c>
      <c r="C6" s="4">
        <v>420.8</v>
      </c>
      <c r="D6">
        <v>79</v>
      </c>
      <c r="E6" s="4">
        <v>377</v>
      </c>
      <c r="F6" s="4">
        <v>202</v>
      </c>
      <c r="H6" s="12">
        <v>90.633333333333326</v>
      </c>
      <c r="I6" s="13">
        <v>8.3666666700000007</v>
      </c>
    </row>
    <row r="7" spans="1:9" x14ac:dyDescent="0.2">
      <c r="A7" s="1" t="s">
        <v>6</v>
      </c>
      <c r="B7" s="2">
        <v>23010</v>
      </c>
      <c r="C7" s="4">
        <v>426.6</v>
      </c>
      <c r="D7">
        <v>172</v>
      </c>
      <c r="E7" s="4">
        <v>310</v>
      </c>
      <c r="F7" s="4">
        <v>159</v>
      </c>
      <c r="H7" s="12">
        <v>91.366666666666674</v>
      </c>
      <c r="I7" s="13">
        <v>9.3333333300000003</v>
      </c>
    </row>
    <row r="8" spans="1:9" x14ac:dyDescent="0.2">
      <c r="A8" s="1" t="s">
        <v>7</v>
      </c>
      <c r="B8" s="2">
        <v>23440</v>
      </c>
      <c r="C8" s="4">
        <v>429.2</v>
      </c>
      <c r="D8">
        <v>153</v>
      </c>
      <c r="E8" s="4">
        <v>298</v>
      </c>
      <c r="F8" s="4">
        <v>156</v>
      </c>
      <c r="H8" s="12">
        <v>91.40000000000002</v>
      </c>
      <c r="I8" s="13">
        <v>9.3333333300000003</v>
      </c>
    </row>
    <row r="9" spans="1:9" x14ac:dyDescent="0.2">
      <c r="A9" s="1" t="s">
        <v>8</v>
      </c>
      <c r="B9" s="2">
        <v>24221</v>
      </c>
      <c r="C9" s="4">
        <v>445.5</v>
      </c>
      <c r="D9">
        <v>135</v>
      </c>
      <c r="E9" s="4">
        <v>292</v>
      </c>
      <c r="F9" s="4">
        <v>160</v>
      </c>
      <c r="H9" s="12">
        <v>91.533333333333346</v>
      </c>
      <c r="I9" s="13">
        <v>11.1333333</v>
      </c>
    </row>
    <row r="10" spans="1:9" x14ac:dyDescent="0.2">
      <c r="A10" s="1" t="s">
        <v>9</v>
      </c>
      <c r="B10" s="2">
        <v>25202</v>
      </c>
      <c r="C10" s="4">
        <v>430.5</v>
      </c>
      <c r="D10">
        <v>143</v>
      </c>
      <c r="E10" s="4">
        <v>320</v>
      </c>
      <c r="F10" s="4">
        <v>128</v>
      </c>
      <c r="H10" s="12">
        <v>92.533333333333346</v>
      </c>
      <c r="I10" s="13">
        <v>13.4</v>
      </c>
    </row>
    <row r="11" spans="1:9" x14ac:dyDescent="0.2">
      <c r="A11" s="1" t="s">
        <v>10</v>
      </c>
      <c r="B11" s="2">
        <v>25322</v>
      </c>
      <c r="C11" s="4">
        <v>454.6</v>
      </c>
      <c r="D11">
        <v>185</v>
      </c>
      <c r="E11" s="4">
        <v>381</v>
      </c>
      <c r="F11" s="4">
        <v>111</v>
      </c>
      <c r="H11" s="12">
        <v>93.366666666666674</v>
      </c>
      <c r="I11" s="13">
        <v>11.966666699999999</v>
      </c>
    </row>
    <row r="12" spans="1:9" x14ac:dyDescent="0.2">
      <c r="A12" s="1" t="s">
        <v>11</v>
      </c>
      <c r="B12" s="2">
        <v>25267</v>
      </c>
      <c r="C12" s="4">
        <v>455.8</v>
      </c>
      <c r="D12">
        <v>183</v>
      </c>
      <c r="E12" s="4">
        <v>351</v>
      </c>
      <c r="F12" s="4">
        <v>109</v>
      </c>
      <c r="H12" s="12">
        <v>93.566666666666677</v>
      </c>
      <c r="I12" s="13">
        <v>10.933333299999999</v>
      </c>
    </row>
    <row r="13" spans="1:9" x14ac:dyDescent="0.2">
      <c r="A13" s="1" t="s">
        <v>12</v>
      </c>
      <c r="B13" s="2">
        <v>25576</v>
      </c>
      <c r="C13" s="4">
        <v>470</v>
      </c>
      <c r="D13">
        <v>148</v>
      </c>
      <c r="E13" s="4">
        <v>316</v>
      </c>
      <c r="F13" s="4">
        <v>122</v>
      </c>
      <c r="H13" s="12">
        <v>93.899999999999991</v>
      </c>
      <c r="I13" s="13">
        <v>12.1</v>
      </c>
    </row>
    <row r="14" spans="1:9" x14ac:dyDescent="0.2">
      <c r="A14" s="1" t="s">
        <v>13</v>
      </c>
      <c r="B14" s="2">
        <v>26148</v>
      </c>
      <c r="C14" s="4">
        <v>449.7</v>
      </c>
      <c r="D14">
        <v>142</v>
      </c>
      <c r="E14" s="4">
        <v>367</v>
      </c>
      <c r="F14" s="4">
        <v>123</v>
      </c>
      <c r="H14" s="12">
        <v>95.033333333333346</v>
      </c>
      <c r="I14" s="13">
        <v>13.3</v>
      </c>
    </row>
    <row r="15" spans="1:9" x14ac:dyDescent="0.2">
      <c r="A15" s="1" t="s">
        <v>14</v>
      </c>
      <c r="B15" s="2">
        <v>26679</v>
      </c>
      <c r="C15" s="4">
        <v>466.6</v>
      </c>
      <c r="D15">
        <v>107</v>
      </c>
      <c r="E15" s="4">
        <v>529</v>
      </c>
      <c r="F15" s="4">
        <v>117</v>
      </c>
      <c r="H15" s="12">
        <v>96.2</v>
      </c>
      <c r="I15" s="13">
        <v>11.8333333</v>
      </c>
    </row>
    <row r="16" spans="1:9" x14ac:dyDescent="0.2">
      <c r="A16" s="1" t="s">
        <v>15</v>
      </c>
      <c r="B16" s="2">
        <v>25338</v>
      </c>
      <c r="C16" s="4">
        <v>456.5</v>
      </c>
      <c r="D16">
        <v>137</v>
      </c>
      <c r="E16" s="4">
        <v>563</v>
      </c>
      <c r="F16" s="4">
        <v>104</v>
      </c>
      <c r="H16" s="12">
        <v>96.100000000000009</v>
      </c>
      <c r="I16" s="13">
        <v>10.8</v>
      </c>
    </row>
    <row r="17" spans="1:9" x14ac:dyDescent="0.2">
      <c r="A17" s="1" t="s">
        <v>16</v>
      </c>
      <c r="B17" s="2">
        <v>24881</v>
      </c>
      <c r="C17" s="4">
        <v>474</v>
      </c>
      <c r="D17">
        <v>123</v>
      </c>
      <c r="E17" s="4">
        <v>417</v>
      </c>
      <c r="F17" s="4">
        <v>126</v>
      </c>
      <c r="H17" s="12">
        <v>96.333333333333329</v>
      </c>
      <c r="I17" s="13">
        <v>11.7333333</v>
      </c>
    </row>
    <row r="18" spans="1:9" x14ac:dyDescent="0.2">
      <c r="A18" s="1" t="s">
        <v>17</v>
      </c>
      <c r="B18" s="2">
        <v>24593</v>
      </c>
      <c r="C18" s="4">
        <v>457.6</v>
      </c>
      <c r="D18">
        <v>113</v>
      </c>
      <c r="E18" s="4">
        <v>349</v>
      </c>
      <c r="F18" s="4">
        <v>156</v>
      </c>
      <c r="H18" s="12">
        <v>97.600000000000009</v>
      </c>
      <c r="I18" s="13">
        <v>13.1666667</v>
      </c>
    </row>
    <row r="19" spans="1:9" x14ac:dyDescent="0.2">
      <c r="A19" s="1" t="s">
        <v>18</v>
      </c>
      <c r="B19" s="2">
        <v>24861</v>
      </c>
      <c r="C19" s="4">
        <v>477.7</v>
      </c>
      <c r="D19">
        <v>142</v>
      </c>
      <c r="E19" s="4">
        <v>343</v>
      </c>
      <c r="F19" s="4">
        <v>132</v>
      </c>
      <c r="H19" s="12">
        <v>98.3</v>
      </c>
      <c r="I19" s="13">
        <v>12.033333300000001</v>
      </c>
    </row>
    <row r="20" spans="1:9" x14ac:dyDescent="0.2">
      <c r="A20" s="1" t="s">
        <v>19</v>
      </c>
      <c r="B20" s="2">
        <v>25372</v>
      </c>
      <c r="C20" s="4">
        <v>474.1</v>
      </c>
      <c r="D20">
        <v>163</v>
      </c>
      <c r="E20" s="4">
        <v>338</v>
      </c>
      <c r="F20" s="4">
        <v>126</v>
      </c>
      <c r="H20" s="12">
        <v>98.466666666666654</v>
      </c>
      <c r="I20" s="13">
        <v>11.1</v>
      </c>
    </row>
    <row r="21" spans="1:9" x14ac:dyDescent="0.2">
      <c r="A21" s="1" t="s">
        <v>20</v>
      </c>
      <c r="B21" s="2">
        <v>25534</v>
      </c>
      <c r="C21" s="4">
        <v>485.6</v>
      </c>
      <c r="D21">
        <v>134</v>
      </c>
      <c r="E21" s="4">
        <v>309</v>
      </c>
      <c r="F21" s="4">
        <v>139</v>
      </c>
      <c r="H21" s="12">
        <v>98.5</v>
      </c>
      <c r="I21" s="13">
        <v>12.1</v>
      </c>
    </row>
    <row r="22" spans="1:9" x14ac:dyDescent="0.2">
      <c r="A22" s="1" t="s">
        <v>21</v>
      </c>
      <c r="B22" s="2">
        <v>26637</v>
      </c>
      <c r="C22" s="4">
        <v>464.3</v>
      </c>
      <c r="D22">
        <v>129</v>
      </c>
      <c r="E22" s="4">
        <v>311</v>
      </c>
      <c r="F22" s="4">
        <v>126</v>
      </c>
      <c r="H22" s="12">
        <v>98.733333333333334</v>
      </c>
      <c r="I22" s="13">
        <v>12.933333299999999</v>
      </c>
    </row>
    <row r="23" spans="1:9" x14ac:dyDescent="0.2">
      <c r="A23" s="1" t="s">
        <v>22</v>
      </c>
      <c r="B23" s="2">
        <v>27035</v>
      </c>
      <c r="C23" s="4">
        <v>487.5</v>
      </c>
      <c r="D23">
        <v>145</v>
      </c>
      <c r="E23" s="4">
        <v>351</v>
      </c>
      <c r="F23" s="4">
        <v>92</v>
      </c>
      <c r="H23" s="12">
        <v>99.133333333333326</v>
      </c>
      <c r="I23" s="13">
        <v>11.5</v>
      </c>
    </row>
    <row r="24" spans="1:9" x14ac:dyDescent="0.2">
      <c r="A24" s="1" t="s">
        <v>23</v>
      </c>
      <c r="B24" s="2">
        <v>27657</v>
      </c>
      <c r="C24" s="4">
        <v>482.2</v>
      </c>
      <c r="D24">
        <v>155</v>
      </c>
      <c r="E24" s="4">
        <v>349</v>
      </c>
      <c r="F24" s="4">
        <v>91</v>
      </c>
      <c r="H24" s="12">
        <v>98.966666666666654</v>
      </c>
      <c r="I24" s="13">
        <v>10.566666700000001</v>
      </c>
    </row>
    <row r="25" spans="1:9" x14ac:dyDescent="0.2">
      <c r="A25" s="1" t="s">
        <v>24</v>
      </c>
      <c r="B25" s="2">
        <v>26789</v>
      </c>
      <c r="C25" s="4">
        <v>495.7</v>
      </c>
      <c r="D25">
        <v>112</v>
      </c>
      <c r="E25" s="4">
        <v>311</v>
      </c>
      <c r="F25" s="4">
        <v>123</v>
      </c>
      <c r="G25" s="11">
        <v>2.6119999999999997</v>
      </c>
      <c r="H25" s="12">
        <v>99.133333333333326</v>
      </c>
      <c r="I25" s="13">
        <v>11.1666667</v>
      </c>
    </row>
    <row r="26" spans="1:9" x14ac:dyDescent="0.2">
      <c r="A26" s="1" t="s">
        <v>25</v>
      </c>
      <c r="B26" s="2">
        <v>27223</v>
      </c>
      <c r="C26" s="4">
        <v>479.6</v>
      </c>
      <c r="D26">
        <v>143</v>
      </c>
      <c r="E26" s="4">
        <v>316</v>
      </c>
      <c r="F26" s="4">
        <v>120</v>
      </c>
      <c r="G26" s="11">
        <v>2.3713333333333337</v>
      </c>
      <c r="H26" s="12">
        <v>99.333333333333329</v>
      </c>
      <c r="I26" s="13">
        <v>11.3</v>
      </c>
    </row>
    <row r="27" spans="1:9" x14ac:dyDescent="0.2">
      <c r="A27" s="1" t="s">
        <v>26</v>
      </c>
      <c r="B27" s="2">
        <v>28561</v>
      </c>
      <c r="C27" s="4">
        <v>495.2</v>
      </c>
      <c r="D27">
        <v>166</v>
      </c>
      <c r="E27" s="4">
        <v>361</v>
      </c>
      <c r="F27" s="4">
        <v>114</v>
      </c>
      <c r="G27" s="11">
        <v>2.6553333333333335</v>
      </c>
      <c r="H27" s="12">
        <v>99.733333333333334</v>
      </c>
      <c r="I27" s="13">
        <v>9.7666666699999993</v>
      </c>
    </row>
    <row r="28" spans="1:9" x14ac:dyDescent="0.2">
      <c r="A28" s="1" t="s">
        <v>27</v>
      </c>
      <c r="B28" s="2">
        <v>28807</v>
      </c>
      <c r="C28" s="4">
        <v>493.7</v>
      </c>
      <c r="D28">
        <v>204</v>
      </c>
      <c r="E28" s="4">
        <v>378</v>
      </c>
      <c r="F28" s="4">
        <v>94</v>
      </c>
      <c r="G28" s="11">
        <v>2.8383333333333334</v>
      </c>
      <c r="H28" s="12">
        <v>99.533333333333346</v>
      </c>
      <c r="I28" s="13">
        <v>9.2333333300000007</v>
      </c>
    </row>
    <row r="29" spans="1:9" x14ac:dyDescent="0.2">
      <c r="A29" s="1" t="s">
        <v>28</v>
      </c>
      <c r="B29" s="2">
        <v>28242</v>
      </c>
      <c r="C29" s="4">
        <v>512.70000000000005</v>
      </c>
      <c r="D29">
        <v>173</v>
      </c>
      <c r="E29" s="4">
        <v>290</v>
      </c>
      <c r="F29" s="4">
        <v>111</v>
      </c>
      <c r="G29" s="11">
        <v>2.6306666666666665</v>
      </c>
      <c r="H29" s="12">
        <v>99.59999999999998</v>
      </c>
      <c r="I29" s="13">
        <v>9.6666666699999997</v>
      </c>
    </row>
    <row r="30" spans="1:9" x14ac:dyDescent="0.2">
      <c r="A30" s="1" t="s">
        <v>29</v>
      </c>
      <c r="B30" s="2">
        <v>29323</v>
      </c>
      <c r="C30" s="4">
        <v>495.9</v>
      </c>
      <c r="D30" s="14">
        <v>241</v>
      </c>
      <c r="E30" s="15">
        <v>240</v>
      </c>
      <c r="F30" s="4">
        <v>105</v>
      </c>
      <c r="G30" s="11">
        <v>2.4949999999999997</v>
      </c>
      <c r="H30" s="12">
        <v>99.600000000000009</v>
      </c>
      <c r="I30" s="13">
        <v>10.3333333</v>
      </c>
    </row>
    <row r="31" spans="1:9" x14ac:dyDescent="0.2">
      <c r="A31" s="1" t="s">
        <v>30</v>
      </c>
      <c r="B31" s="2">
        <v>30851</v>
      </c>
      <c r="C31" s="4">
        <v>513.5</v>
      </c>
      <c r="D31" s="14">
        <v>292</v>
      </c>
      <c r="E31" s="15">
        <v>261</v>
      </c>
      <c r="F31" s="4">
        <v>94</v>
      </c>
      <c r="G31" s="11">
        <v>2.6910000000000003</v>
      </c>
      <c r="H31" s="12">
        <v>100.33333333333333</v>
      </c>
      <c r="I31" s="13">
        <v>9.06666667</v>
      </c>
    </row>
    <row r="32" spans="1:9" x14ac:dyDescent="0.2">
      <c r="A32" s="1" t="s">
        <v>31</v>
      </c>
      <c r="B32" s="2">
        <v>31410</v>
      </c>
      <c r="C32" s="4">
        <v>505.9</v>
      </c>
      <c r="D32">
        <v>225</v>
      </c>
      <c r="E32" s="4">
        <v>315</v>
      </c>
      <c r="F32" s="4">
        <v>65</v>
      </c>
      <c r="G32" s="11">
        <v>2.5913333333333335</v>
      </c>
      <c r="H32" s="12">
        <v>100.133333333333</v>
      </c>
      <c r="I32" s="13">
        <v>8.4666666700000004</v>
      </c>
    </row>
    <row r="33" spans="1:9" x14ac:dyDescent="0.2">
      <c r="A33" s="1" t="s">
        <v>32</v>
      </c>
      <c r="B33" s="2">
        <v>31354</v>
      </c>
      <c r="C33" s="4">
        <v>521.1</v>
      </c>
      <c r="D33">
        <v>185</v>
      </c>
      <c r="E33" s="4">
        <v>273</v>
      </c>
      <c r="F33" s="4">
        <v>77</v>
      </c>
      <c r="G33" s="11">
        <v>2.1670000000000003</v>
      </c>
      <c r="H33" s="12">
        <v>99.933333333333337</v>
      </c>
      <c r="I33" s="13">
        <v>8.6666666699999997</v>
      </c>
    </row>
    <row r="34" spans="1:9" x14ac:dyDescent="0.2">
      <c r="A34" s="1" t="s">
        <v>33</v>
      </c>
      <c r="B34" s="2">
        <v>32792</v>
      </c>
      <c r="C34" s="4">
        <v>504.8</v>
      </c>
      <c r="D34">
        <v>182</v>
      </c>
      <c r="E34" s="4">
        <v>290</v>
      </c>
      <c r="F34" s="4">
        <v>78</v>
      </c>
      <c r="G34" s="11">
        <v>2.0300000000000002</v>
      </c>
      <c r="H34" s="12">
        <v>99.899999999999991</v>
      </c>
      <c r="I34" s="13">
        <v>9.1333333299999993</v>
      </c>
    </row>
    <row r="35" spans="1:9" x14ac:dyDescent="0.2">
      <c r="A35" s="1" t="s">
        <v>34</v>
      </c>
      <c r="B35" s="2">
        <v>33697</v>
      </c>
      <c r="C35" s="4">
        <v>534.1</v>
      </c>
      <c r="D35">
        <v>234</v>
      </c>
      <c r="E35" s="4">
        <v>370</v>
      </c>
      <c r="F35" s="4">
        <v>69</v>
      </c>
      <c r="G35" s="11">
        <v>2.1003333333333334</v>
      </c>
      <c r="H35" s="12">
        <v>100.46666666666665</v>
      </c>
      <c r="I35" s="13">
        <v>7.9666666700000004</v>
      </c>
    </row>
    <row r="36" spans="1:9" x14ac:dyDescent="0.2">
      <c r="A36" s="1" t="s">
        <v>35</v>
      </c>
      <c r="B36" s="2">
        <v>33303</v>
      </c>
      <c r="C36" s="4">
        <v>521.5</v>
      </c>
      <c r="D36">
        <v>236</v>
      </c>
      <c r="E36" s="4">
        <v>375</v>
      </c>
      <c r="F36" s="4">
        <v>65</v>
      </c>
      <c r="G36" s="11">
        <v>2.2306666666666666</v>
      </c>
      <c r="H36" s="12">
        <v>100.3</v>
      </c>
      <c r="I36" s="13">
        <v>7.7666666700000002</v>
      </c>
    </row>
    <row r="37" spans="1:9" x14ac:dyDescent="0.2">
      <c r="A37" s="1" t="s">
        <v>36</v>
      </c>
      <c r="B37" s="2">
        <v>33262</v>
      </c>
      <c r="C37" s="4">
        <v>547.4</v>
      </c>
      <c r="D37">
        <v>177</v>
      </c>
      <c r="E37" s="4">
        <v>323</v>
      </c>
      <c r="F37" s="4">
        <v>93</v>
      </c>
      <c r="G37" s="11">
        <v>2.1903333333333332</v>
      </c>
      <c r="H37" s="12">
        <v>100.33333333333333</v>
      </c>
      <c r="I37" s="13">
        <v>8.2666666699999993</v>
      </c>
    </row>
    <row r="38" spans="1:9" x14ac:dyDescent="0.2">
      <c r="A38" s="1" t="s">
        <v>37</v>
      </c>
      <c r="B38" s="2">
        <v>34555</v>
      </c>
      <c r="C38" s="4">
        <v>530.6</v>
      </c>
      <c r="D38">
        <v>199</v>
      </c>
      <c r="E38" s="4">
        <v>309</v>
      </c>
      <c r="F38" s="4">
        <v>92</v>
      </c>
      <c r="G38" s="11">
        <v>2.0843333333333334</v>
      </c>
      <c r="H38" s="12">
        <v>100.86666666666666</v>
      </c>
      <c r="I38" s="13">
        <v>9.0333333299999996</v>
      </c>
    </row>
    <row r="39" spans="1:9" x14ac:dyDescent="0.2">
      <c r="A39" s="1" t="s">
        <v>38</v>
      </c>
      <c r="B39" s="2">
        <v>34591</v>
      </c>
      <c r="C39" s="4">
        <v>558.4</v>
      </c>
      <c r="D39">
        <v>250</v>
      </c>
      <c r="E39" s="4">
        <v>319</v>
      </c>
      <c r="F39" s="4">
        <v>89</v>
      </c>
      <c r="G39" s="11">
        <v>2.0539999999999998</v>
      </c>
      <c r="H39" s="12">
        <v>101.3</v>
      </c>
      <c r="I39" s="13">
        <v>8.1333333299999993</v>
      </c>
    </row>
    <row r="40" spans="1:9" x14ac:dyDescent="0.2">
      <c r="A40" s="1" t="s">
        <v>39</v>
      </c>
      <c r="B40" s="2">
        <v>35046</v>
      </c>
      <c r="C40" s="4">
        <v>541.1</v>
      </c>
      <c r="D40">
        <v>200</v>
      </c>
      <c r="E40" s="4">
        <v>353</v>
      </c>
      <c r="F40" s="4">
        <v>68</v>
      </c>
      <c r="G40" s="11">
        <v>2.0533333333333332</v>
      </c>
      <c r="H40" s="12">
        <v>101.83333333333333</v>
      </c>
      <c r="I40" s="13">
        <v>8.1333333299999993</v>
      </c>
    </row>
    <row r="41" spans="1:9" x14ac:dyDescent="0.2">
      <c r="A41" s="1" t="s">
        <v>40</v>
      </c>
      <c r="B41" s="2">
        <v>34909</v>
      </c>
      <c r="C41" s="4">
        <v>562.9</v>
      </c>
      <c r="D41">
        <v>193</v>
      </c>
      <c r="E41" s="4">
        <v>340</v>
      </c>
      <c r="F41" s="4">
        <v>83</v>
      </c>
      <c r="G41" s="11">
        <v>1.8416666666666668</v>
      </c>
      <c r="H41" s="12">
        <v>101.60000000000001</v>
      </c>
      <c r="I41" s="13">
        <v>8.2666666699999993</v>
      </c>
    </row>
    <row r="42" spans="1:9" x14ac:dyDescent="0.2">
      <c r="A42" s="1" t="s">
        <v>41</v>
      </c>
      <c r="B42" s="2">
        <v>36300</v>
      </c>
      <c r="C42" s="4">
        <v>536.5</v>
      </c>
      <c r="D42">
        <v>163</v>
      </c>
      <c r="E42" s="4">
        <v>427</v>
      </c>
      <c r="F42" s="4">
        <v>77</v>
      </c>
      <c r="G42" s="11">
        <v>2.0390000000000001</v>
      </c>
      <c r="H42" s="12">
        <v>101.46666666666665</v>
      </c>
      <c r="I42" s="13">
        <v>8.6</v>
      </c>
    </row>
    <row r="43" spans="1:9" x14ac:dyDescent="0.2">
      <c r="A43" s="1" t="s">
        <v>42</v>
      </c>
      <c r="B43" s="2">
        <v>35876</v>
      </c>
      <c r="C43" s="4">
        <v>570.4</v>
      </c>
      <c r="D43">
        <v>240</v>
      </c>
      <c r="E43" s="4">
        <v>507</v>
      </c>
      <c r="F43" s="4">
        <v>86</v>
      </c>
      <c r="G43" s="11">
        <v>2.1253333333333333</v>
      </c>
      <c r="H43" s="12">
        <v>102.30000000000001</v>
      </c>
      <c r="I43" s="13">
        <v>7.5</v>
      </c>
    </row>
    <row r="44" spans="1:9" x14ac:dyDescent="0.2">
      <c r="A44" s="1" t="s">
        <v>43</v>
      </c>
      <c r="B44" s="2">
        <v>36630</v>
      </c>
      <c r="C44" s="4">
        <v>561</v>
      </c>
      <c r="D44">
        <v>231</v>
      </c>
      <c r="E44" s="4">
        <v>509</v>
      </c>
      <c r="F44" s="4">
        <v>90</v>
      </c>
      <c r="G44" s="11">
        <v>2.1266666666666665</v>
      </c>
      <c r="H44" s="12">
        <v>102.73333333333335</v>
      </c>
      <c r="I44" s="13">
        <v>7.3</v>
      </c>
    </row>
    <row r="45" spans="1:9" x14ac:dyDescent="0.2">
      <c r="A45" s="1" t="s">
        <v>44</v>
      </c>
      <c r="B45" s="2">
        <v>35165</v>
      </c>
      <c r="C45" s="4">
        <v>585.70000000000005</v>
      </c>
      <c r="D45">
        <v>171</v>
      </c>
      <c r="E45" s="4">
        <v>484</v>
      </c>
      <c r="F45" s="4">
        <v>110</v>
      </c>
      <c r="G45" s="11">
        <v>1.9983333333333331</v>
      </c>
      <c r="H45" s="12">
        <v>102.40000000000002</v>
      </c>
      <c r="I45" s="13">
        <v>7.5</v>
      </c>
    </row>
    <row r="46" spans="1:9" x14ac:dyDescent="0.2">
      <c r="A46" s="1" t="s">
        <v>45</v>
      </c>
      <c r="B46" s="2">
        <v>35695</v>
      </c>
      <c r="C46" s="4">
        <v>560.1</v>
      </c>
      <c r="D46">
        <v>217</v>
      </c>
      <c r="E46" s="4">
        <v>507</v>
      </c>
      <c r="F46" s="4">
        <v>90</v>
      </c>
      <c r="G46" s="11">
        <v>1.8723333333333334</v>
      </c>
      <c r="H46" s="12">
        <v>102.66666666666667</v>
      </c>
      <c r="I46" s="13">
        <v>7.8666666699999999</v>
      </c>
    </row>
    <row r="47" spans="1:9" x14ac:dyDescent="0.2">
      <c r="A47" s="1" t="s">
        <v>46</v>
      </c>
      <c r="B47" s="2">
        <v>36348</v>
      </c>
      <c r="C47" s="4">
        <v>589.5</v>
      </c>
      <c r="D47">
        <v>220</v>
      </c>
      <c r="E47" s="4">
        <v>537</v>
      </c>
      <c r="F47" s="4">
        <v>99</v>
      </c>
      <c r="G47" s="11">
        <v>1.8063333333333336</v>
      </c>
      <c r="H47" s="12">
        <v>103.06666666666668</v>
      </c>
      <c r="I47" s="13">
        <v>6.93333333</v>
      </c>
    </row>
    <row r="48" spans="1:9" x14ac:dyDescent="0.2">
      <c r="A48" s="1" t="s">
        <v>47</v>
      </c>
      <c r="B48" s="2">
        <v>35561</v>
      </c>
      <c r="C48" s="4">
        <v>582.20000000000005</v>
      </c>
      <c r="D48">
        <v>254</v>
      </c>
      <c r="E48" s="4">
        <v>513</v>
      </c>
      <c r="F48" s="4">
        <v>110</v>
      </c>
      <c r="G48" s="11">
        <v>1.555666666666667</v>
      </c>
      <c r="H48" s="12">
        <v>103.16666666666667</v>
      </c>
      <c r="I48" s="13">
        <v>7.1333333300000001</v>
      </c>
    </row>
    <row r="49" spans="1:9" x14ac:dyDescent="0.2">
      <c r="A49" s="1" t="s">
        <v>48</v>
      </c>
      <c r="B49" s="2">
        <v>36203</v>
      </c>
      <c r="C49" s="4">
        <v>603.20000000000005</v>
      </c>
      <c r="D49">
        <v>235</v>
      </c>
      <c r="E49" s="4">
        <v>402</v>
      </c>
      <c r="F49" s="4">
        <v>111</v>
      </c>
      <c r="G49" s="11">
        <v>1.466</v>
      </c>
      <c r="H49" s="12">
        <v>103.09999999999998</v>
      </c>
      <c r="I49" s="13">
        <v>7.3333333300000003</v>
      </c>
    </row>
    <row r="50" spans="1:9" x14ac:dyDescent="0.2">
      <c r="A50" s="1" t="s">
        <v>49</v>
      </c>
      <c r="B50" s="2">
        <v>36927</v>
      </c>
      <c r="C50" s="4">
        <v>576.20000000000005</v>
      </c>
      <c r="D50">
        <v>218</v>
      </c>
      <c r="E50" s="4">
        <v>365</v>
      </c>
      <c r="F50" s="4">
        <v>117</v>
      </c>
      <c r="G50" s="11">
        <v>1.4796666666666667</v>
      </c>
      <c r="H50" s="12">
        <v>103.3</v>
      </c>
      <c r="I50" s="13">
        <v>8.2666666699999993</v>
      </c>
    </row>
    <row r="51" spans="1:9" x14ac:dyDescent="0.2">
      <c r="A51" s="1" t="s">
        <v>50</v>
      </c>
      <c r="B51" s="2">
        <v>36710</v>
      </c>
      <c r="C51" s="4">
        <v>558.6</v>
      </c>
      <c r="D51">
        <v>263</v>
      </c>
      <c r="E51" s="4">
        <v>361</v>
      </c>
      <c r="F51" s="4">
        <v>99</v>
      </c>
      <c r="G51" s="11">
        <v>1.6563333333333334</v>
      </c>
      <c r="H51" s="12">
        <v>103.16666666666667</v>
      </c>
      <c r="I51" s="13">
        <v>10.3</v>
      </c>
    </row>
    <row r="52" spans="1:9" x14ac:dyDescent="0.2">
      <c r="A52" s="1" t="s">
        <v>51</v>
      </c>
      <c r="B52" s="2">
        <v>38773</v>
      </c>
      <c r="C52" s="4">
        <v>572.70000000000005</v>
      </c>
      <c r="D52">
        <v>241</v>
      </c>
      <c r="E52" s="4">
        <v>335</v>
      </c>
      <c r="F52" s="4">
        <v>76</v>
      </c>
      <c r="G52" s="11">
        <v>1.5323333333333331</v>
      </c>
      <c r="H52" s="12">
        <v>103.7</v>
      </c>
      <c r="I52" s="13">
        <v>9.4</v>
      </c>
    </row>
    <row r="53" spans="1:9" x14ac:dyDescent="0.2">
      <c r="A53" s="1" t="s">
        <v>53</v>
      </c>
      <c r="C53" s="4">
        <v>596.9</v>
      </c>
      <c r="E53" s="10"/>
      <c r="F53" s="10"/>
      <c r="G53" s="11">
        <v>1.4550000000000001</v>
      </c>
      <c r="H53" s="12">
        <v>103.566666666667</v>
      </c>
      <c r="I53" s="13">
        <v>8.9</v>
      </c>
    </row>
    <row r="54" spans="1:9" x14ac:dyDescent="0.2">
      <c r="E54" s="3"/>
      <c r="F54" s="4"/>
      <c r="H54" s="5"/>
    </row>
    <row r="55" spans="1:9" x14ac:dyDescent="0.2">
      <c r="E55" s="3"/>
      <c r="F55" s="4"/>
      <c r="H55" s="6"/>
    </row>
    <row r="56" spans="1:9" x14ac:dyDescent="0.2">
      <c r="E56" s="3"/>
      <c r="F56" s="4"/>
      <c r="H56" s="6"/>
    </row>
    <row r="57" spans="1:9" x14ac:dyDescent="0.2">
      <c r="E57" s="3"/>
      <c r="F57" s="4"/>
      <c r="H57" s="6"/>
    </row>
    <row r="58" spans="1:9" x14ac:dyDescent="0.2">
      <c r="E58" s="3"/>
      <c r="F58" s="4"/>
      <c r="H58" s="5"/>
    </row>
    <row r="59" spans="1:9" x14ac:dyDescent="0.2">
      <c r="E59" s="3"/>
      <c r="F59" s="4"/>
      <c r="H59" s="5"/>
    </row>
    <row r="60" spans="1:9" x14ac:dyDescent="0.2">
      <c r="E60" s="3"/>
      <c r="F60" s="4"/>
      <c r="H60" s="6"/>
    </row>
    <row r="61" spans="1:9" x14ac:dyDescent="0.2">
      <c r="E61" s="3"/>
      <c r="F61" s="4"/>
      <c r="H61" s="7"/>
    </row>
    <row r="62" spans="1:9" x14ac:dyDescent="0.2">
      <c r="E62" s="3"/>
      <c r="F62" s="4"/>
      <c r="H62" s="7"/>
    </row>
    <row r="63" spans="1:9" x14ac:dyDescent="0.2">
      <c r="E63" s="3"/>
      <c r="F63" s="4"/>
      <c r="H63" s="5"/>
    </row>
    <row r="64" spans="1:9" x14ac:dyDescent="0.2">
      <c r="E64" s="3"/>
      <c r="F64" s="4"/>
      <c r="H64" s="5"/>
    </row>
    <row r="65" spans="5:8" x14ac:dyDescent="0.2">
      <c r="E65" s="3"/>
      <c r="F65" s="4"/>
      <c r="H65" s="6"/>
    </row>
    <row r="66" spans="5:8" x14ac:dyDescent="0.2">
      <c r="E66" s="3"/>
      <c r="F66" s="4"/>
      <c r="H66" s="6"/>
    </row>
    <row r="67" spans="5:8" x14ac:dyDescent="0.2">
      <c r="E67" s="3"/>
      <c r="F67" s="4"/>
      <c r="H67" s="6"/>
    </row>
    <row r="68" spans="5:8" x14ac:dyDescent="0.2">
      <c r="E68" s="3"/>
      <c r="F68" s="4"/>
      <c r="H68" s="5"/>
    </row>
    <row r="69" spans="5:8" x14ac:dyDescent="0.2">
      <c r="E69" s="3"/>
      <c r="F69" s="4"/>
      <c r="H69" s="5"/>
    </row>
    <row r="70" spans="5:8" x14ac:dyDescent="0.2">
      <c r="E70" s="3"/>
      <c r="F70" s="4"/>
      <c r="H70" s="7"/>
    </row>
    <row r="71" spans="5:8" x14ac:dyDescent="0.2">
      <c r="E71" s="3"/>
      <c r="F71" s="4"/>
      <c r="H71" s="7"/>
    </row>
    <row r="72" spans="5:8" x14ac:dyDescent="0.2">
      <c r="E72" s="3"/>
      <c r="F72" s="4"/>
      <c r="H72" s="7"/>
    </row>
    <row r="73" spans="5:8" x14ac:dyDescent="0.2">
      <c r="E73" s="3"/>
      <c r="F73" s="4"/>
      <c r="H73" s="5"/>
    </row>
    <row r="74" spans="5:8" x14ac:dyDescent="0.2">
      <c r="E74" s="3"/>
      <c r="F74" s="4"/>
      <c r="H74" s="5"/>
    </row>
    <row r="75" spans="5:8" x14ac:dyDescent="0.2">
      <c r="E75" s="3"/>
      <c r="F75" s="4"/>
      <c r="H75" s="7"/>
    </row>
    <row r="76" spans="5:8" x14ac:dyDescent="0.2">
      <c r="E76" s="3"/>
      <c r="F76" s="4"/>
      <c r="H76" s="7"/>
    </row>
    <row r="77" spans="5:8" x14ac:dyDescent="0.2">
      <c r="E77" s="3"/>
      <c r="F77" s="4"/>
      <c r="H77" s="7"/>
    </row>
    <row r="78" spans="5:8" x14ac:dyDescent="0.2">
      <c r="E78" s="3"/>
      <c r="F78" s="4"/>
      <c r="H78" s="5"/>
    </row>
    <row r="79" spans="5:8" x14ac:dyDescent="0.2">
      <c r="E79" s="3"/>
      <c r="F79" s="4"/>
      <c r="H79" s="5"/>
    </row>
    <row r="80" spans="5:8" x14ac:dyDescent="0.2">
      <c r="E80" s="3"/>
      <c r="F80" s="4"/>
      <c r="H80" s="6"/>
    </row>
    <row r="81" spans="5:8" x14ac:dyDescent="0.2">
      <c r="E81" s="3"/>
      <c r="F81" s="4"/>
      <c r="H81" s="6"/>
    </row>
    <row r="82" spans="5:8" x14ac:dyDescent="0.2">
      <c r="E82" s="3"/>
      <c r="F82" s="4"/>
      <c r="H82" s="6"/>
    </row>
    <row r="83" spans="5:8" x14ac:dyDescent="0.2">
      <c r="E83" s="3"/>
      <c r="F83" s="4"/>
      <c r="H83" s="5"/>
    </row>
    <row r="84" spans="5:8" x14ac:dyDescent="0.2">
      <c r="E84" s="3"/>
      <c r="F84" s="4"/>
      <c r="H84" s="5"/>
    </row>
    <row r="85" spans="5:8" x14ac:dyDescent="0.2">
      <c r="E85" s="3"/>
      <c r="F85" s="4"/>
      <c r="H85" s="7"/>
    </row>
    <row r="86" spans="5:8" x14ac:dyDescent="0.2">
      <c r="E86" s="3"/>
      <c r="F86" s="4"/>
      <c r="H86" s="7"/>
    </row>
    <row r="87" spans="5:8" x14ac:dyDescent="0.2">
      <c r="E87" s="3"/>
      <c r="F87" s="4"/>
      <c r="H87" s="7"/>
    </row>
    <row r="88" spans="5:8" x14ac:dyDescent="0.2">
      <c r="E88" s="3"/>
      <c r="F88" s="4"/>
      <c r="H88" s="5"/>
    </row>
    <row r="89" spans="5:8" x14ac:dyDescent="0.2">
      <c r="E89" s="3"/>
      <c r="F89" s="4"/>
      <c r="H89" s="5"/>
    </row>
    <row r="90" spans="5:8" x14ac:dyDescent="0.2">
      <c r="E90" s="3"/>
      <c r="F90" s="4"/>
      <c r="H90" s="7"/>
    </row>
    <row r="91" spans="5:8" x14ac:dyDescent="0.2">
      <c r="E91" s="3"/>
      <c r="F91" s="4"/>
      <c r="H91" s="6"/>
    </row>
    <row r="92" spans="5:8" x14ac:dyDescent="0.2">
      <c r="E92" s="3"/>
      <c r="F92" s="4"/>
      <c r="H92" s="6"/>
    </row>
    <row r="93" spans="5:8" x14ac:dyDescent="0.2">
      <c r="E93" s="3"/>
      <c r="F93" s="4"/>
      <c r="H93" s="5"/>
    </row>
    <row r="94" spans="5:8" x14ac:dyDescent="0.2">
      <c r="E94" s="3"/>
      <c r="F94" s="4"/>
      <c r="H94" s="5"/>
    </row>
    <row r="95" spans="5:8" x14ac:dyDescent="0.2">
      <c r="E95" s="3"/>
      <c r="F95" s="4"/>
      <c r="H95" s="6"/>
    </row>
    <row r="96" spans="5:8" x14ac:dyDescent="0.2">
      <c r="E96" s="3"/>
      <c r="F96" s="4"/>
      <c r="H96" s="6"/>
    </row>
    <row r="97" spans="5:8" x14ac:dyDescent="0.2">
      <c r="E97" s="3"/>
      <c r="F97" s="4"/>
      <c r="H97" s="6"/>
    </row>
    <row r="98" spans="5:8" x14ac:dyDescent="0.2">
      <c r="E98" s="3"/>
      <c r="F98" s="4"/>
      <c r="H98" s="5"/>
    </row>
    <row r="99" spans="5:8" x14ac:dyDescent="0.2">
      <c r="E99" s="3"/>
      <c r="F99" s="4"/>
      <c r="H99" s="5"/>
    </row>
    <row r="100" spans="5:8" x14ac:dyDescent="0.2">
      <c r="E100" s="3"/>
      <c r="F100" s="4"/>
      <c r="H100" s="6"/>
    </row>
    <row r="101" spans="5:8" x14ac:dyDescent="0.2">
      <c r="E101" s="3"/>
      <c r="F101" s="4"/>
      <c r="H101" s="7"/>
    </row>
    <row r="102" spans="5:8" x14ac:dyDescent="0.2">
      <c r="E102" s="3"/>
      <c r="F102" s="4"/>
      <c r="H102" s="7"/>
    </row>
    <row r="103" spans="5:8" x14ac:dyDescent="0.2">
      <c r="E103" s="3"/>
      <c r="F103" s="4"/>
      <c r="H103" s="5"/>
    </row>
    <row r="104" spans="5:8" x14ac:dyDescent="0.2">
      <c r="E104" s="3"/>
      <c r="F104" s="4"/>
      <c r="H104" s="5"/>
    </row>
    <row r="105" spans="5:8" x14ac:dyDescent="0.2">
      <c r="E105" s="3"/>
      <c r="F105" s="4"/>
      <c r="H105" s="6"/>
    </row>
    <row r="106" spans="5:8" x14ac:dyDescent="0.2">
      <c r="E106" s="3"/>
      <c r="F106" s="4"/>
      <c r="H106" s="7"/>
    </row>
    <row r="107" spans="5:8" x14ac:dyDescent="0.2">
      <c r="E107" s="3"/>
      <c r="F107" s="4"/>
      <c r="H107" s="7"/>
    </row>
    <row r="108" spans="5:8" x14ac:dyDescent="0.2">
      <c r="E108" s="3"/>
      <c r="F108" s="4"/>
      <c r="H108" s="5"/>
    </row>
    <row r="109" spans="5:8" x14ac:dyDescent="0.2">
      <c r="E109" s="3"/>
      <c r="F109" s="4"/>
      <c r="H109" s="5"/>
    </row>
    <row r="110" spans="5:8" x14ac:dyDescent="0.2">
      <c r="E110" s="3"/>
      <c r="F110" s="4"/>
      <c r="H110" s="7"/>
    </row>
    <row r="111" spans="5:8" x14ac:dyDescent="0.2">
      <c r="E111" s="3"/>
      <c r="F111" s="4"/>
      <c r="H111" s="7"/>
    </row>
    <row r="112" spans="5:8" x14ac:dyDescent="0.2">
      <c r="E112" s="3"/>
      <c r="F112" s="4"/>
      <c r="H112" s="7"/>
    </row>
    <row r="113" spans="5:8" x14ac:dyDescent="0.2">
      <c r="E113" s="3"/>
      <c r="F113" s="4"/>
      <c r="H113" s="5"/>
    </row>
    <row r="114" spans="5:8" x14ac:dyDescent="0.2">
      <c r="E114" s="3"/>
      <c r="F114" s="4"/>
      <c r="H114" s="5"/>
    </row>
    <row r="115" spans="5:8" x14ac:dyDescent="0.2">
      <c r="E115" s="3"/>
      <c r="F115" s="4"/>
      <c r="H115" s="7"/>
    </row>
    <row r="116" spans="5:8" x14ac:dyDescent="0.2">
      <c r="E116" s="3"/>
      <c r="F116" s="4"/>
      <c r="H116" s="7"/>
    </row>
    <row r="117" spans="5:8" x14ac:dyDescent="0.2">
      <c r="E117" s="3"/>
      <c r="F117" s="4"/>
      <c r="H117" s="7"/>
    </row>
    <row r="118" spans="5:8" x14ac:dyDescent="0.2">
      <c r="E118" s="3"/>
      <c r="F118" s="4"/>
      <c r="H118" s="5"/>
    </row>
    <row r="119" spans="5:8" x14ac:dyDescent="0.2">
      <c r="E119" s="3"/>
      <c r="F119" s="4"/>
      <c r="H119" s="5"/>
    </row>
    <row r="120" spans="5:8" x14ac:dyDescent="0.2">
      <c r="E120" s="3"/>
      <c r="F120" s="4"/>
      <c r="H120" s="6"/>
    </row>
    <row r="121" spans="5:8" x14ac:dyDescent="0.2">
      <c r="E121" s="3"/>
      <c r="F121" s="4"/>
      <c r="H121" s="7"/>
    </row>
    <row r="122" spans="5:8" x14ac:dyDescent="0.2">
      <c r="E122" s="3"/>
      <c r="F122" s="4"/>
      <c r="H122" s="7"/>
    </row>
    <row r="123" spans="5:8" x14ac:dyDescent="0.2">
      <c r="E123" s="3"/>
      <c r="F123" s="4"/>
      <c r="H123" s="5"/>
    </row>
    <row r="124" spans="5:8" x14ac:dyDescent="0.2">
      <c r="E124" s="3"/>
      <c r="F124" s="4"/>
      <c r="H124" s="5"/>
    </row>
    <row r="125" spans="5:8" x14ac:dyDescent="0.2">
      <c r="E125" s="3"/>
      <c r="F125" s="4"/>
      <c r="H125" s="7"/>
    </row>
    <row r="126" spans="5:8" x14ac:dyDescent="0.2">
      <c r="E126" s="3"/>
      <c r="F126" s="4"/>
      <c r="H126" s="7"/>
    </row>
    <row r="127" spans="5:8" x14ac:dyDescent="0.2">
      <c r="E127" s="3"/>
      <c r="F127" s="4"/>
      <c r="H127" s="7"/>
    </row>
    <row r="128" spans="5:8" x14ac:dyDescent="0.2">
      <c r="E128" s="3"/>
      <c r="F128" s="4"/>
      <c r="H128" s="5"/>
    </row>
    <row r="129" spans="5:8" x14ac:dyDescent="0.2">
      <c r="E129" s="3"/>
      <c r="F129" s="4"/>
      <c r="H129" s="5"/>
    </row>
    <row r="130" spans="5:8" x14ac:dyDescent="0.2">
      <c r="E130" s="3"/>
      <c r="F130" s="4"/>
      <c r="H130" s="7"/>
    </row>
    <row r="131" spans="5:8" x14ac:dyDescent="0.2">
      <c r="E131" s="3"/>
      <c r="F131" s="4"/>
      <c r="H131" s="7"/>
    </row>
    <row r="132" spans="5:8" x14ac:dyDescent="0.2">
      <c r="E132" s="3"/>
      <c r="F132" s="4"/>
      <c r="H132" s="7"/>
    </row>
    <row r="133" spans="5:8" x14ac:dyDescent="0.2">
      <c r="E133" s="3"/>
      <c r="F133" s="4"/>
      <c r="H133" s="5"/>
    </row>
    <row r="134" spans="5:8" x14ac:dyDescent="0.2">
      <c r="E134" s="3"/>
      <c r="F134" s="4"/>
      <c r="H134" s="5"/>
    </row>
    <row r="135" spans="5:8" x14ac:dyDescent="0.2">
      <c r="E135" s="3"/>
      <c r="F135" s="4"/>
      <c r="H135" s="7"/>
    </row>
    <row r="136" spans="5:8" x14ac:dyDescent="0.2">
      <c r="E136" s="3"/>
      <c r="F136" s="4"/>
      <c r="H136" s="7"/>
    </row>
    <row r="137" spans="5:8" x14ac:dyDescent="0.2">
      <c r="H137" s="7"/>
    </row>
    <row r="138" spans="5:8" x14ac:dyDescent="0.2">
      <c r="H138" s="5"/>
    </row>
    <row r="139" spans="5:8" x14ac:dyDescent="0.2">
      <c r="H139" s="5"/>
    </row>
    <row r="140" spans="5:8" x14ac:dyDescent="0.2">
      <c r="H140" s="6"/>
    </row>
    <row r="141" spans="5:8" x14ac:dyDescent="0.2">
      <c r="H141" s="6"/>
    </row>
    <row r="142" spans="5:8" x14ac:dyDescent="0.2">
      <c r="H142" s="6"/>
    </row>
    <row r="143" spans="5:8" x14ac:dyDescent="0.2">
      <c r="H143" s="5"/>
    </row>
    <row r="144" spans="5:8" x14ac:dyDescent="0.2">
      <c r="H144" s="5"/>
    </row>
    <row r="145" spans="8:8" x14ac:dyDescent="0.2">
      <c r="H145" s="7"/>
    </row>
    <row r="146" spans="8:8" x14ac:dyDescent="0.2">
      <c r="H146" s="6"/>
    </row>
    <row r="147" spans="8:8" x14ac:dyDescent="0.2">
      <c r="H147" s="6"/>
    </row>
    <row r="148" spans="8:8" x14ac:dyDescent="0.2">
      <c r="H148" s="5"/>
    </row>
    <row r="149" spans="8:8" x14ac:dyDescent="0.2">
      <c r="H149" s="5"/>
    </row>
    <row r="150" spans="8:8" x14ac:dyDescent="0.2">
      <c r="H150" s="7"/>
    </row>
    <row r="151" spans="8:8" x14ac:dyDescent="0.2">
      <c r="H151" s="7"/>
    </row>
    <row r="152" spans="8:8" x14ac:dyDescent="0.2">
      <c r="H152" s="7"/>
    </row>
    <row r="153" spans="8:8" x14ac:dyDescent="0.2">
      <c r="H153" s="5"/>
    </row>
    <row r="154" spans="8:8" x14ac:dyDescent="0.2">
      <c r="H154" s="5"/>
    </row>
    <row r="155" spans="8:8" x14ac:dyDescent="0.2">
      <c r="H155" s="6"/>
    </row>
    <row r="156" spans="8:8" x14ac:dyDescent="0.2">
      <c r="H156" s="7"/>
    </row>
    <row r="157" spans="8:8" x14ac:dyDescent="0.2">
      <c r="H157" s="7"/>
    </row>
    <row r="158" spans="8:8" x14ac:dyDescent="0.2">
      <c r="H158" s="5"/>
    </row>
    <row r="159" spans="8:8" x14ac:dyDescent="0.2">
      <c r="H159" s="5"/>
    </row>
    <row r="160" spans="8:8" x14ac:dyDescent="0.2">
      <c r="H160" s="6"/>
    </row>
    <row r="161" spans="8:8" x14ac:dyDescent="0.2">
      <c r="H161" s="7"/>
    </row>
    <row r="162" spans="8:8" x14ac:dyDescent="0.2">
      <c r="H162" s="7"/>
    </row>
    <row r="163" spans="8:8" x14ac:dyDescent="0.2">
      <c r="H163" s="5"/>
    </row>
    <row r="164" spans="8:8" x14ac:dyDescent="0.2">
      <c r="H164" s="5"/>
    </row>
    <row r="165" spans="8:8" x14ac:dyDescent="0.2">
      <c r="H165" s="7"/>
    </row>
    <row r="166" spans="8:8" x14ac:dyDescent="0.2">
      <c r="H166" s="7"/>
    </row>
    <row r="167" spans="8:8" x14ac:dyDescent="0.2">
      <c r="H167" s="7"/>
    </row>
    <row r="168" spans="8:8" x14ac:dyDescent="0.2">
      <c r="H168" s="5"/>
    </row>
    <row r="169" spans="8:8" x14ac:dyDescent="0.2">
      <c r="H169" s="5"/>
    </row>
    <row r="170" spans="8:8" x14ac:dyDescent="0.2">
      <c r="H170" s="7"/>
    </row>
    <row r="171" spans="8:8" x14ac:dyDescent="0.2">
      <c r="H171" s="7"/>
    </row>
    <row r="172" spans="8:8" x14ac:dyDescent="0.2">
      <c r="H172" s="7"/>
    </row>
    <row r="173" spans="8:8" x14ac:dyDescent="0.2">
      <c r="H173" s="5"/>
    </row>
    <row r="174" spans="8:8" x14ac:dyDescent="0.2">
      <c r="H174" s="5"/>
    </row>
    <row r="175" spans="8:8" x14ac:dyDescent="0.2">
      <c r="H175" s="6"/>
    </row>
    <row r="176" spans="8:8" x14ac:dyDescent="0.2">
      <c r="H176" s="6"/>
    </row>
    <row r="177" spans="8:8" x14ac:dyDescent="0.2">
      <c r="H177" s="6"/>
    </row>
    <row r="178" spans="8:8" x14ac:dyDescent="0.2">
      <c r="H178" s="5"/>
    </row>
    <row r="179" spans="8:8" x14ac:dyDescent="0.2">
      <c r="H179" s="5"/>
    </row>
    <row r="180" spans="8:8" x14ac:dyDescent="0.2">
      <c r="H180" s="6"/>
    </row>
    <row r="181" spans="8:8" x14ac:dyDescent="0.2">
      <c r="H181" s="6"/>
    </row>
    <row r="182" spans="8:8" x14ac:dyDescent="0.2">
      <c r="H182" s="6"/>
    </row>
    <row r="183" spans="8:8" x14ac:dyDescent="0.2">
      <c r="H183" s="5"/>
    </row>
    <row r="184" spans="8:8" x14ac:dyDescent="0.2">
      <c r="H184" s="5"/>
    </row>
    <row r="185" spans="8:8" x14ac:dyDescent="0.2">
      <c r="H185" s="7"/>
    </row>
    <row r="186" spans="8:8" x14ac:dyDescent="0.2">
      <c r="H186" s="6"/>
    </row>
    <row r="187" spans="8:8" x14ac:dyDescent="0.2">
      <c r="H187" s="6"/>
    </row>
    <row r="188" spans="8:8" x14ac:dyDescent="0.2">
      <c r="H188" s="5"/>
    </row>
    <row r="189" spans="8:8" x14ac:dyDescent="0.2">
      <c r="H189" s="5"/>
    </row>
    <row r="190" spans="8:8" x14ac:dyDescent="0.2">
      <c r="H190" s="6"/>
    </row>
    <row r="191" spans="8:8" x14ac:dyDescent="0.2">
      <c r="H191" s="6"/>
    </row>
    <row r="192" spans="8:8" x14ac:dyDescent="0.2">
      <c r="H192" s="6"/>
    </row>
    <row r="193" spans="8:8" x14ac:dyDescent="0.2">
      <c r="H193" s="5"/>
    </row>
    <row r="194" spans="8:8" x14ac:dyDescent="0.2">
      <c r="H194" s="5"/>
    </row>
    <row r="195" spans="8:8" x14ac:dyDescent="0.2">
      <c r="H195" s="6"/>
    </row>
    <row r="196" spans="8:8" x14ac:dyDescent="0.2">
      <c r="H196" s="6"/>
    </row>
    <row r="197" spans="8:8" x14ac:dyDescent="0.2">
      <c r="H197" s="6"/>
    </row>
    <row r="198" spans="8:8" x14ac:dyDescent="0.2">
      <c r="H198" s="5"/>
    </row>
    <row r="199" spans="8:8" x14ac:dyDescent="0.2">
      <c r="H199" s="5"/>
    </row>
    <row r="200" spans="8:8" x14ac:dyDescent="0.2">
      <c r="H200" s="6"/>
    </row>
    <row r="201" spans="8:8" x14ac:dyDescent="0.2">
      <c r="H201" s="7"/>
    </row>
    <row r="202" spans="8:8" x14ac:dyDescent="0.2">
      <c r="H202" s="7"/>
    </row>
    <row r="203" spans="8:8" x14ac:dyDescent="0.2">
      <c r="H203" s="5"/>
    </row>
    <row r="204" spans="8:8" x14ac:dyDescent="0.2">
      <c r="H204" s="5"/>
    </row>
    <row r="205" spans="8:8" x14ac:dyDescent="0.2">
      <c r="H205" s="6"/>
    </row>
    <row r="206" spans="8:8" x14ac:dyDescent="0.2">
      <c r="H206" s="7"/>
    </row>
    <row r="207" spans="8:8" x14ac:dyDescent="0.2">
      <c r="H207" s="7"/>
    </row>
    <row r="208" spans="8:8" x14ac:dyDescent="0.2">
      <c r="H208" s="5"/>
    </row>
    <row r="209" spans="8:8" x14ac:dyDescent="0.2">
      <c r="H209" s="5"/>
    </row>
    <row r="210" spans="8:8" x14ac:dyDescent="0.2">
      <c r="H210" s="7"/>
    </row>
    <row r="211" spans="8:8" x14ac:dyDescent="0.2">
      <c r="H211" s="7"/>
    </row>
    <row r="212" spans="8:8" x14ac:dyDescent="0.2">
      <c r="H212" s="7"/>
    </row>
    <row r="213" spans="8:8" x14ac:dyDescent="0.2">
      <c r="H213" s="5"/>
    </row>
    <row r="214" spans="8:8" x14ac:dyDescent="0.2">
      <c r="H214" s="5"/>
    </row>
    <row r="215" spans="8:8" x14ac:dyDescent="0.2">
      <c r="H215" s="7"/>
    </row>
    <row r="216" spans="8:8" x14ac:dyDescent="0.2">
      <c r="H216" s="7"/>
    </row>
    <row r="217" spans="8:8" x14ac:dyDescent="0.2">
      <c r="H217" s="7"/>
    </row>
    <row r="218" spans="8:8" x14ac:dyDescent="0.2">
      <c r="H218" s="5"/>
    </row>
    <row r="219" spans="8:8" x14ac:dyDescent="0.2">
      <c r="H219" s="5"/>
    </row>
    <row r="220" spans="8:8" x14ac:dyDescent="0.2">
      <c r="H220" s="6"/>
    </row>
    <row r="221" spans="8:8" x14ac:dyDescent="0.2">
      <c r="H221" s="7"/>
    </row>
    <row r="222" spans="8:8" x14ac:dyDescent="0.2">
      <c r="H222" s="7"/>
    </row>
    <row r="223" spans="8:8" x14ac:dyDescent="0.2">
      <c r="H223" s="5"/>
    </row>
    <row r="224" spans="8:8" x14ac:dyDescent="0.2">
      <c r="H224" s="5"/>
    </row>
    <row r="225" spans="8:8" x14ac:dyDescent="0.2">
      <c r="H225" s="6"/>
    </row>
    <row r="226" spans="8:8" x14ac:dyDescent="0.2">
      <c r="H226" s="7"/>
    </row>
    <row r="227" spans="8:8" x14ac:dyDescent="0.2">
      <c r="H227" s="7"/>
    </row>
    <row r="228" spans="8:8" x14ac:dyDescent="0.2">
      <c r="H228" s="5"/>
    </row>
    <row r="229" spans="8:8" x14ac:dyDescent="0.2">
      <c r="H229" s="5"/>
    </row>
    <row r="230" spans="8:8" x14ac:dyDescent="0.2">
      <c r="H230" s="7"/>
    </row>
    <row r="231" spans="8:8" x14ac:dyDescent="0.2">
      <c r="H231" s="7"/>
    </row>
    <row r="232" spans="8:8" x14ac:dyDescent="0.2">
      <c r="H232" s="7"/>
    </row>
    <row r="233" spans="8:8" x14ac:dyDescent="0.2">
      <c r="H233" s="5"/>
    </row>
    <row r="234" spans="8:8" x14ac:dyDescent="0.2">
      <c r="H234" s="5"/>
    </row>
    <row r="235" spans="8:8" x14ac:dyDescent="0.2">
      <c r="H235" s="7"/>
    </row>
    <row r="236" spans="8:8" x14ac:dyDescent="0.2">
      <c r="H236" s="6"/>
    </row>
    <row r="237" spans="8:8" x14ac:dyDescent="0.2">
      <c r="H237" s="6"/>
    </row>
    <row r="238" spans="8:8" x14ac:dyDescent="0.2">
      <c r="H238" s="5"/>
    </row>
    <row r="239" spans="8:8" x14ac:dyDescent="0.2">
      <c r="H239" s="5"/>
    </row>
    <row r="240" spans="8:8" x14ac:dyDescent="0.2">
      <c r="H240" s="6"/>
    </row>
    <row r="241" spans="8:8" x14ac:dyDescent="0.2">
      <c r="H241" s="6"/>
    </row>
    <row r="242" spans="8:8" x14ac:dyDescent="0.2">
      <c r="H242" s="6"/>
    </row>
    <row r="243" spans="8:8" x14ac:dyDescent="0.2">
      <c r="H243" s="5"/>
    </row>
    <row r="244" spans="8:8" x14ac:dyDescent="0.2">
      <c r="H244" s="5"/>
    </row>
    <row r="245" spans="8:8" x14ac:dyDescent="0.2">
      <c r="H245" s="6"/>
    </row>
    <row r="246" spans="8:8" x14ac:dyDescent="0.2">
      <c r="H246" s="6"/>
    </row>
    <row r="247" spans="8:8" x14ac:dyDescent="0.2">
      <c r="H247" s="6"/>
    </row>
    <row r="248" spans="8:8" x14ac:dyDescent="0.2">
      <c r="H248" s="5"/>
    </row>
    <row r="249" spans="8:8" x14ac:dyDescent="0.2">
      <c r="H249" s="5"/>
    </row>
    <row r="250" spans="8:8" x14ac:dyDescent="0.2">
      <c r="H250" s="6"/>
    </row>
    <row r="251" spans="8:8" x14ac:dyDescent="0.2">
      <c r="H251" s="6"/>
    </row>
    <row r="252" spans="8:8" x14ac:dyDescent="0.2">
      <c r="H252" s="6"/>
    </row>
    <row r="253" spans="8:8" x14ac:dyDescent="0.2">
      <c r="H253" s="5"/>
    </row>
    <row r="254" spans="8:8" x14ac:dyDescent="0.2">
      <c r="H254" s="5"/>
    </row>
    <row r="255" spans="8:8" x14ac:dyDescent="0.2">
      <c r="H255" s="7"/>
    </row>
    <row r="256" spans="8:8" x14ac:dyDescent="0.2">
      <c r="H256" s="7"/>
    </row>
    <row r="257" spans="8:8" x14ac:dyDescent="0.2">
      <c r="H257" s="7"/>
    </row>
    <row r="258" spans="8:8" x14ac:dyDescent="0.2">
      <c r="H258" s="5"/>
    </row>
    <row r="259" spans="8:8" x14ac:dyDescent="0.2">
      <c r="H259" s="5"/>
    </row>
    <row r="260" spans="8:8" x14ac:dyDescent="0.2">
      <c r="H260" s="6"/>
    </row>
    <row r="261" spans="8:8" x14ac:dyDescent="0.2">
      <c r="H261" s="7"/>
    </row>
    <row r="262" spans="8:8" x14ac:dyDescent="0.2">
      <c r="H262" s="7"/>
    </row>
    <row r="263" spans="8:8" x14ac:dyDescent="0.2">
      <c r="H263" s="5"/>
    </row>
    <row r="264" spans="8:8" x14ac:dyDescent="0.2">
      <c r="H264" s="5"/>
    </row>
    <row r="265" spans="8:8" x14ac:dyDescent="0.2">
      <c r="H265" s="7"/>
    </row>
    <row r="266" spans="8:8" x14ac:dyDescent="0.2">
      <c r="H266" s="7"/>
    </row>
    <row r="267" spans="8:8" x14ac:dyDescent="0.2">
      <c r="H267" s="7"/>
    </row>
    <row r="268" spans="8:8" x14ac:dyDescent="0.2">
      <c r="H268" s="5"/>
    </row>
    <row r="269" spans="8:8" x14ac:dyDescent="0.2">
      <c r="H269" s="5"/>
    </row>
    <row r="270" spans="8:8" x14ac:dyDescent="0.2">
      <c r="H270" s="7"/>
    </row>
    <row r="271" spans="8:8" x14ac:dyDescent="0.2">
      <c r="H271" s="7"/>
    </row>
    <row r="272" spans="8:8" x14ac:dyDescent="0.2">
      <c r="H272" s="7"/>
    </row>
    <row r="273" spans="8:8" x14ac:dyDescent="0.2">
      <c r="H273" s="5"/>
    </row>
    <row r="274" spans="8:8" x14ac:dyDescent="0.2">
      <c r="H274" s="5"/>
    </row>
    <row r="275" spans="8:8" x14ac:dyDescent="0.2">
      <c r="H275" s="7"/>
    </row>
    <row r="276" spans="8:8" x14ac:dyDescent="0.2">
      <c r="H276" s="6"/>
    </row>
    <row r="277" spans="8:8" x14ac:dyDescent="0.2">
      <c r="H277" s="6"/>
    </row>
    <row r="278" spans="8:8" x14ac:dyDescent="0.2">
      <c r="H278" s="5"/>
    </row>
    <row r="279" spans="8:8" x14ac:dyDescent="0.2">
      <c r="H279" s="5"/>
    </row>
    <row r="280" spans="8:8" x14ac:dyDescent="0.2">
      <c r="H280" s="6"/>
    </row>
    <row r="281" spans="8:8" x14ac:dyDescent="0.2">
      <c r="H281" s="6"/>
    </row>
    <row r="282" spans="8:8" x14ac:dyDescent="0.2">
      <c r="H282" s="6"/>
    </row>
    <row r="283" spans="8:8" x14ac:dyDescent="0.2">
      <c r="H283" s="5"/>
    </row>
    <row r="284" spans="8:8" x14ac:dyDescent="0.2">
      <c r="H284" s="5"/>
    </row>
    <row r="285" spans="8:8" x14ac:dyDescent="0.2">
      <c r="H285" s="6"/>
    </row>
    <row r="286" spans="8:8" x14ac:dyDescent="0.2">
      <c r="H286" s="6"/>
    </row>
    <row r="287" spans="8:8" x14ac:dyDescent="0.2">
      <c r="H287" s="6"/>
    </row>
    <row r="288" spans="8:8" x14ac:dyDescent="0.2">
      <c r="H288" s="5"/>
    </row>
    <row r="289" spans="8:8" x14ac:dyDescent="0.2">
      <c r="H289" s="5"/>
    </row>
    <row r="290" spans="8:8" x14ac:dyDescent="0.2">
      <c r="H290" s="6"/>
    </row>
    <row r="291" spans="8:8" x14ac:dyDescent="0.2">
      <c r="H291" s="6"/>
    </row>
    <row r="292" spans="8:8" x14ac:dyDescent="0.2">
      <c r="H292" s="6"/>
    </row>
    <row r="293" spans="8:8" x14ac:dyDescent="0.2">
      <c r="H293" s="5"/>
    </row>
    <row r="294" spans="8:8" x14ac:dyDescent="0.2">
      <c r="H294" s="5"/>
    </row>
    <row r="295" spans="8:8" x14ac:dyDescent="0.2">
      <c r="H295" s="7"/>
    </row>
    <row r="296" spans="8:8" x14ac:dyDescent="0.2">
      <c r="H296" s="7"/>
    </row>
    <row r="297" spans="8:8" x14ac:dyDescent="0.2">
      <c r="H297" s="7"/>
    </row>
    <row r="298" spans="8:8" x14ac:dyDescent="0.2">
      <c r="H298" s="5"/>
    </row>
    <row r="299" spans="8:8" x14ac:dyDescent="0.2">
      <c r="H299" s="5"/>
    </row>
    <row r="300" spans="8:8" x14ac:dyDescent="0.2">
      <c r="H300" s="6"/>
    </row>
    <row r="301" spans="8:8" x14ac:dyDescent="0.2">
      <c r="H301" s="7"/>
    </row>
    <row r="302" spans="8:8" x14ac:dyDescent="0.2">
      <c r="H302" s="7"/>
    </row>
    <row r="303" spans="8:8" x14ac:dyDescent="0.2">
      <c r="H303" s="5"/>
    </row>
    <row r="304" spans="8:8" x14ac:dyDescent="0.2">
      <c r="H304" s="5"/>
    </row>
    <row r="305" spans="8:8" x14ac:dyDescent="0.2">
      <c r="H305" s="7"/>
    </row>
    <row r="306" spans="8:8" x14ac:dyDescent="0.2">
      <c r="H306" s="7"/>
    </row>
    <row r="307" spans="8:8" x14ac:dyDescent="0.2">
      <c r="H307" s="7"/>
    </row>
    <row r="308" spans="8:8" x14ac:dyDescent="0.2">
      <c r="H308" s="5"/>
    </row>
    <row r="309" spans="8:8" x14ac:dyDescent="0.2">
      <c r="H309" s="5"/>
    </row>
    <row r="310" spans="8:8" x14ac:dyDescent="0.2">
      <c r="H310" s="7"/>
    </row>
    <row r="311" spans="8:8" x14ac:dyDescent="0.2">
      <c r="H311" s="7"/>
    </row>
    <row r="312" spans="8:8" x14ac:dyDescent="0.2">
      <c r="H312" s="7"/>
    </row>
    <row r="313" spans="8:8" x14ac:dyDescent="0.2">
      <c r="H313" s="5"/>
    </row>
    <row r="314" spans="8:8" x14ac:dyDescent="0.2">
      <c r="H314" s="5"/>
    </row>
    <row r="315" spans="8:8" x14ac:dyDescent="0.2">
      <c r="H315" s="7"/>
    </row>
    <row r="316" spans="8:8" x14ac:dyDescent="0.2">
      <c r="H316" s="6"/>
    </row>
    <row r="317" spans="8:8" x14ac:dyDescent="0.2">
      <c r="H317" s="6"/>
    </row>
    <row r="318" spans="8:8" x14ac:dyDescent="0.2">
      <c r="H318" s="5"/>
    </row>
    <row r="319" spans="8:8" x14ac:dyDescent="0.2">
      <c r="H319" s="5"/>
    </row>
    <row r="320" spans="8:8" x14ac:dyDescent="0.2">
      <c r="H320" s="7"/>
    </row>
    <row r="321" spans="8:8" x14ac:dyDescent="0.2">
      <c r="H321" s="6"/>
    </row>
    <row r="322" spans="8:8" x14ac:dyDescent="0.2">
      <c r="H322" s="6"/>
    </row>
    <row r="323" spans="8:8" x14ac:dyDescent="0.2">
      <c r="H323" s="5"/>
    </row>
    <row r="324" spans="8:8" x14ac:dyDescent="0.2">
      <c r="H324" s="5"/>
    </row>
    <row r="325" spans="8:8" x14ac:dyDescent="0.2">
      <c r="H325" s="6"/>
    </row>
    <row r="326" spans="8:8" x14ac:dyDescent="0.2">
      <c r="H326" s="6"/>
    </row>
    <row r="327" spans="8:8" x14ac:dyDescent="0.2">
      <c r="H327" s="6"/>
    </row>
    <row r="328" spans="8:8" x14ac:dyDescent="0.2">
      <c r="H328" s="5"/>
    </row>
    <row r="329" spans="8:8" x14ac:dyDescent="0.2">
      <c r="H329" s="5"/>
    </row>
    <row r="330" spans="8:8" x14ac:dyDescent="0.2">
      <c r="H330" s="6"/>
    </row>
    <row r="331" spans="8:8" x14ac:dyDescent="0.2">
      <c r="H331" s="7"/>
    </row>
    <row r="332" spans="8:8" x14ac:dyDescent="0.2">
      <c r="H332" s="7"/>
    </row>
    <row r="333" spans="8:8" x14ac:dyDescent="0.2">
      <c r="H333" s="5"/>
    </row>
    <row r="334" spans="8:8" x14ac:dyDescent="0.2">
      <c r="H334" s="5"/>
    </row>
    <row r="335" spans="8:8" x14ac:dyDescent="0.2">
      <c r="H335" s="7"/>
    </row>
    <row r="336" spans="8:8" x14ac:dyDescent="0.2">
      <c r="H336" s="7"/>
    </row>
    <row r="337" spans="8:8" x14ac:dyDescent="0.2">
      <c r="H337" s="7"/>
    </row>
    <row r="338" spans="8:8" x14ac:dyDescent="0.2">
      <c r="H338" s="5"/>
    </row>
    <row r="339" spans="8:8" x14ac:dyDescent="0.2">
      <c r="H339" s="5"/>
    </row>
    <row r="340" spans="8:8" x14ac:dyDescent="0.2">
      <c r="H340" s="6"/>
    </row>
    <row r="341" spans="8:8" x14ac:dyDescent="0.2">
      <c r="H341" s="7"/>
    </row>
    <row r="342" spans="8:8" x14ac:dyDescent="0.2">
      <c r="H342" s="7"/>
    </row>
    <row r="343" spans="8:8" x14ac:dyDescent="0.2">
      <c r="H343" s="5"/>
    </row>
    <row r="344" spans="8:8" x14ac:dyDescent="0.2">
      <c r="H344" s="5"/>
    </row>
    <row r="345" spans="8:8" x14ac:dyDescent="0.2">
      <c r="H345" s="7"/>
    </row>
    <row r="346" spans="8:8" x14ac:dyDescent="0.2">
      <c r="H346" s="7"/>
    </row>
    <row r="347" spans="8:8" x14ac:dyDescent="0.2">
      <c r="H347" s="7"/>
    </row>
    <row r="348" spans="8:8" x14ac:dyDescent="0.2">
      <c r="H348" s="5"/>
    </row>
    <row r="349" spans="8:8" x14ac:dyDescent="0.2">
      <c r="H349" s="5"/>
    </row>
    <row r="350" spans="8:8" x14ac:dyDescent="0.2">
      <c r="H350" s="7"/>
    </row>
    <row r="351" spans="8:8" x14ac:dyDescent="0.2">
      <c r="H351" s="7"/>
    </row>
    <row r="352" spans="8:8" x14ac:dyDescent="0.2">
      <c r="H352" s="7"/>
    </row>
    <row r="353" spans="8:8" x14ac:dyDescent="0.2">
      <c r="H353" s="5"/>
    </row>
    <row r="354" spans="8:8" x14ac:dyDescent="0.2">
      <c r="H354" s="5"/>
    </row>
    <row r="355" spans="8:8" x14ac:dyDescent="0.2">
      <c r="H355" s="6"/>
    </row>
    <row r="356" spans="8:8" x14ac:dyDescent="0.2">
      <c r="H356" s="7"/>
    </row>
    <row r="357" spans="8:8" x14ac:dyDescent="0.2">
      <c r="H357" s="7"/>
    </row>
    <row r="358" spans="8:8" x14ac:dyDescent="0.2">
      <c r="H358" s="5"/>
    </row>
    <row r="359" spans="8:8" x14ac:dyDescent="0.2">
      <c r="H359" s="5"/>
    </row>
    <row r="360" spans="8:8" x14ac:dyDescent="0.2">
      <c r="H360" s="6"/>
    </row>
    <row r="361" spans="8:8" x14ac:dyDescent="0.2">
      <c r="H361" s="7"/>
    </row>
    <row r="362" spans="8:8" x14ac:dyDescent="0.2">
      <c r="H362" s="7"/>
    </row>
    <row r="363" spans="8:8" x14ac:dyDescent="0.2">
      <c r="H363" s="5"/>
    </row>
    <row r="364" spans="8:8" x14ac:dyDescent="0.2">
      <c r="H364" s="5"/>
    </row>
    <row r="365" spans="8:8" x14ac:dyDescent="0.2">
      <c r="H365" s="7"/>
    </row>
    <row r="366" spans="8:8" x14ac:dyDescent="0.2">
      <c r="H366" s="7"/>
    </row>
    <row r="367" spans="8:8" x14ac:dyDescent="0.2">
      <c r="H367" s="7"/>
    </row>
    <row r="368" spans="8:8" x14ac:dyDescent="0.2">
      <c r="H368" s="5"/>
    </row>
    <row r="369" spans="8:8" x14ac:dyDescent="0.2">
      <c r="H369" s="5"/>
    </row>
    <row r="370" spans="8:8" x14ac:dyDescent="0.2">
      <c r="H370" s="7"/>
    </row>
    <row r="371" spans="8:8" x14ac:dyDescent="0.2">
      <c r="H371" s="7"/>
    </row>
    <row r="372" spans="8:8" x14ac:dyDescent="0.2">
      <c r="H372" s="7"/>
    </row>
    <row r="373" spans="8:8" x14ac:dyDescent="0.2">
      <c r="H373" s="5"/>
    </row>
    <row r="374" spans="8:8" x14ac:dyDescent="0.2">
      <c r="H374" s="5"/>
    </row>
    <row r="375" spans="8:8" x14ac:dyDescent="0.2">
      <c r="H375" s="6"/>
    </row>
    <row r="376" spans="8:8" x14ac:dyDescent="0.2">
      <c r="H376" s="6"/>
    </row>
    <row r="377" spans="8:8" x14ac:dyDescent="0.2">
      <c r="H377" s="6"/>
    </row>
    <row r="378" spans="8:8" x14ac:dyDescent="0.2">
      <c r="H378" s="5"/>
    </row>
    <row r="379" spans="8:8" x14ac:dyDescent="0.2">
      <c r="H379" s="5"/>
    </row>
    <row r="380" spans="8:8" x14ac:dyDescent="0.2">
      <c r="H380" s="6"/>
    </row>
    <row r="381" spans="8:8" x14ac:dyDescent="0.2">
      <c r="H381" s="6"/>
    </row>
    <row r="382" spans="8:8" x14ac:dyDescent="0.2">
      <c r="H382" s="6"/>
    </row>
    <row r="383" spans="8:8" x14ac:dyDescent="0.2">
      <c r="H383" s="5"/>
    </row>
    <row r="384" spans="8:8" x14ac:dyDescent="0.2">
      <c r="H384" s="5"/>
    </row>
    <row r="385" spans="8:8" x14ac:dyDescent="0.2">
      <c r="H385" s="7"/>
    </row>
    <row r="386" spans="8:8" x14ac:dyDescent="0.2">
      <c r="H386" s="6"/>
    </row>
    <row r="387" spans="8:8" x14ac:dyDescent="0.2">
      <c r="H387" s="6"/>
    </row>
    <row r="388" spans="8:8" x14ac:dyDescent="0.2">
      <c r="H388" s="5"/>
    </row>
    <row r="389" spans="8:8" x14ac:dyDescent="0.2">
      <c r="H389" s="5"/>
    </row>
    <row r="390" spans="8:8" x14ac:dyDescent="0.2">
      <c r="H390" s="6"/>
    </row>
    <row r="391" spans="8:8" x14ac:dyDescent="0.2">
      <c r="H391" s="5"/>
    </row>
    <row r="392" spans="8:8" x14ac:dyDescent="0.2">
      <c r="H392" s="5"/>
    </row>
    <row r="393" spans="8:8" x14ac:dyDescent="0.2">
      <c r="H393" s="5"/>
    </row>
    <row r="394" spans="8:8" x14ac:dyDescent="0.2">
      <c r="H394" s="5"/>
    </row>
    <row r="395" spans="8:8" x14ac:dyDescent="0.2">
      <c r="H395" s="6"/>
    </row>
    <row r="396" spans="8:8" x14ac:dyDescent="0.2">
      <c r="H396" s="5"/>
    </row>
    <row r="397" spans="8:8" x14ac:dyDescent="0.2">
      <c r="H397" s="5"/>
    </row>
    <row r="398" spans="8:8" x14ac:dyDescent="0.2">
      <c r="H398" s="5"/>
    </row>
    <row r="399" spans="8:8" x14ac:dyDescent="0.2">
      <c r="H399" s="5"/>
    </row>
    <row r="400" spans="8:8" x14ac:dyDescent="0.2">
      <c r="H400" s="6"/>
    </row>
    <row r="401" spans="8:8" x14ac:dyDescent="0.2">
      <c r="H401" s="5"/>
    </row>
    <row r="402" spans="8:8" x14ac:dyDescent="0.2">
      <c r="H402" s="5"/>
    </row>
    <row r="403" spans="8:8" x14ac:dyDescent="0.2">
      <c r="H403" s="5"/>
    </row>
    <row r="404" spans="8:8" x14ac:dyDescent="0.2">
      <c r="H404" s="5"/>
    </row>
  </sheetData>
  <phoneticPr fontId="7" type="noConversion"/>
  <pageMargins left="0.75" right="0.75" top="0.75" bottom="0.5" header="0.5" footer="0.75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1947B-FD61-9B47-8869-B0D236CE7772}">
  <dimension ref="A1:G71"/>
  <sheetViews>
    <sheetView tabSelected="1" topLeftCell="A63" zoomScale="75" workbookViewId="0">
      <selection activeCell="G79" sqref="G79"/>
    </sheetView>
  </sheetViews>
  <sheetFormatPr baseColWidth="10" defaultRowHeight="15" x14ac:dyDescent="0.2"/>
  <cols>
    <col min="2" max="2" width="35.1640625" customWidth="1"/>
    <col min="3" max="3" width="34.33203125" bestFit="1" customWidth="1"/>
    <col min="4" max="4" width="34.33203125" customWidth="1"/>
    <col min="5" max="5" width="30.6640625" bestFit="1" customWidth="1"/>
    <col min="6" max="6" width="37.83203125" bestFit="1" customWidth="1"/>
    <col min="7" max="7" width="34.33203125" bestFit="1" customWidth="1"/>
  </cols>
  <sheetData>
    <row r="1" spans="1:7" x14ac:dyDescent="0.2">
      <c r="A1" s="10"/>
      <c r="B1" s="3" t="s">
        <v>149</v>
      </c>
      <c r="C1" s="16" t="s">
        <v>150</v>
      </c>
      <c r="D1" s="16" t="s">
        <v>75</v>
      </c>
      <c r="E1" s="3" t="s">
        <v>73</v>
      </c>
      <c r="F1" s="3" t="s">
        <v>74</v>
      </c>
      <c r="G1" s="16"/>
    </row>
    <row r="2" spans="1:7" x14ac:dyDescent="0.2">
      <c r="A2" s="3">
        <v>2004</v>
      </c>
      <c r="B2" s="4">
        <v>203</v>
      </c>
      <c r="C2" s="4">
        <v>91</v>
      </c>
      <c r="D2" s="4">
        <f>IF(C2-B2&lt;0,0,C2-B2)</f>
        <v>0</v>
      </c>
      <c r="E2" s="4">
        <v>3791</v>
      </c>
      <c r="F2" s="4">
        <v>5110</v>
      </c>
      <c r="G2" s="4"/>
    </row>
    <row r="3" spans="1:7" x14ac:dyDescent="0.2">
      <c r="A3" s="3" t="s">
        <v>61</v>
      </c>
      <c r="B3" s="4">
        <v>164</v>
      </c>
      <c r="C3" s="4">
        <v>131</v>
      </c>
      <c r="D3" s="4">
        <f t="shared" ref="D3:D66" si="0">IF(C3-B3&lt;0,0,C3-B3)</f>
        <v>0</v>
      </c>
      <c r="E3" s="4">
        <v>3734</v>
      </c>
      <c r="F3" s="4">
        <v>5370</v>
      </c>
      <c r="G3" s="4"/>
    </row>
    <row r="4" spans="1:7" x14ac:dyDescent="0.2">
      <c r="A4" s="3" t="s">
        <v>62</v>
      </c>
      <c r="B4" s="4">
        <v>116</v>
      </c>
      <c r="C4" s="4">
        <v>150</v>
      </c>
      <c r="D4" s="4">
        <f t="shared" si="0"/>
        <v>34</v>
      </c>
      <c r="E4" s="4">
        <v>2601</v>
      </c>
      <c r="F4" s="4">
        <v>5543</v>
      </c>
      <c r="G4" s="4"/>
    </row>
    <row r="5" spans="1:7" x14ac:dyDescent="0.2">
      <c r="A5" s="3" t="s">
        <v>63</v>
      </c>
      <c r="B5" s="4">
        <v>133</v>
      </c>
      <c r="C5" s="4">
        <v>144</v>
      </c>
      <c r="D5" s="4">
        <f t="shared" si="0"/>
        <v>11</v>
      </c>
      <c r="E5" s="4">
        <v>3321</v>
      </c>
      <c r="F5" s="4">
        <v>5533</v>
      </c>
      <c r="G5" s="4"/>
    </row>
    <row r="6" spans="1:7" x14ac:dyDescent="0.2">
      <c r="A6" s="3">
        <v>2005</v>
      </c>
      <c r="B6" s="4">
        <v>171</v>
      </c>
      <c r="C6" s="4">
        <v>144</v>
      </c>
      <c r="D6" s="4">
        <f t="shared" si="0"/>
        <v>0</v>
      </c>
      <c r="E6" s="4">
        <v>4110</v>
      </c>
      <c r="F6" s="4">
        <v>5266</v>
      </c>
      <c r="G6" s="4"/>
    </row>
    <row r="7" spans="1:7" x14ac:dyDescent="0.2">
      <c r="A7" s="3" t="s">
        <v>64</v>
      </c>
      <c r="B7" s="4">
        <v>175</v>
      </c>
      <c r="C7" s="4">
        <v>234</v>
      </c>
      <c r="D7" s="4">
        <f t="shared" si="0"/>
        <v>59</v>
      </c>
      <c r="E7" s="4">
        <v>4537</v>
      </c>
      <c r="F7" s="4">
        <v>5236</v>
      </c>
      <c r="G7" s="4"/>
    </row>
    <row r="8" spans="1:7" x14ac:dyDescent="0.2">
      <c r="A8" s="3" t="s">
        <v>65</v>
      </c>
      <c r="B8" s="4">
        <v>227</v>
      </c>
      <c r="C8" s="4">
        <v>230</v>
      </c>
      <c r="D8" s="4">
        <f t="shared" si="0"/>
        <v>3</v>
      </c>
      <c r="E8" s="4">
        <v>4301</v>
      </c>
      <c r="F8" s="4">
        <v>5193</v>
      </c>
      <c r="G8" s="4"/>
    </row>
    <row r="9" spans="1:7" x14ac:dyDescent="0.2">
      <c r="A9" s="3" t="s">
        <v>66</v>
      </c>
      <c r="B9" s="4">
        <v>156</v>
      </c>
      <c r="C9" s="4">
        <v>249</v>
      </c>
      <c r="D9" s="4">
        <f t="shared" si="0"/>
        <v>93</v>
      </c>
      <c r="E9" s="4">
        <v>3542</v>
      </c>
      <c r="F9" s="4">
        <v>5672</v>
      </c>
      <c r="G9" s="4"/>
    </row>
    <row r="10" spans="1:7" x14ac:dyDescent="0.2">
      <c r="A10" s="3">
        <v>2006</v>
      </c>
      <c r="B10" s="4">
        <v>191</v>
      </c>
      <c r="C10" s="4">
        <v>283</v>
      </c>
      <c r="D10" s="4">
        <f t="shared" si="0"/>
        <v>92</v>
      </c>
      <c r="E10" s="4">
        <v>4093</v>
      </c>
      <c r="F10" s="4">
        <v>6455</v>
      </c>
      <c r="G10" s="4"/>
    </row>
    <row r="11" spans="1:7" x14ac:dyDescent="0.2">
      <c r="A11" s="3" t="s">
        <v>67</v>
      </c>
      <c r="B11" s="4">
        <v>145</v>
      </c>
      <c r="C11" s="4">
        <v>447</v>
      </c>
      <c r="D11" s="4">
        <f t="shared" si="0"/>
        <v>302</v>
      </c>
      <c r="E11" s="4">
        <v>3386</v>
      </c>
      <c r="F11" s="4">
        <v>9376</v>
      </c>
      <c r="G11" s="4"/>
    </row>
    <row r="12" spans="1:7" x14ac:dyDescent="0.2">
      <c r="A12" s="3" t="s">
        <v>68</v>
      </c>
      <c r="B12" s="4">
        <v>129</v>
      </c>
      <c r="C12" s="4">
        <v>589</v>
      </c>
      <c r="D12" s="4">
        <f t="shared" si="0"/>
        <v>460</v>
      </c>
      <c r="E12" s="4">
        <v>2813</v>
      </c>
      <c r="F12" s="4">
        <v>11560</v>
      </c>
      <c r="G12" s="4"/>
    </row>
    <row r="13" spans="1:7" x14ac:dyDescent="0.2">
      <c r="A13" s="3" t="s">
        <v>69</v>
      </c>
      <c r="B13" s="4">
        <v>85</v>
      </c>
      <c r="C13" s="4">
        <v>605</v>
      </c>
      <c r="D13" s="4">
        <f t="shared" si="0"/>
        <v>520</v>
      </c>
      <c r="E13" s="4">
        <v>2333</v>
      </c>
      <c r="F13" s="4">
        <v>12137</v>
      </c>
      <c r="G13" s="4"/>
    </row>
    <row r="14" spans="1:7" x14ac:dyDescent="0.2">
      <c r="A14" s="3">
        <v>2007</v>
      </c>
      <c r="B14" s="4">
        <v>121</v>
      </c>
      <c r="C14" s="4">
        <v>610</v>
      </c>
      <c r="D14" s="4">
        <f t="shared" si="0"/>
        <v>489</v>
      </c>
      <c r="E14" s="4">
        <v>2943</v>
      </c>
      <c r="F14" s="4">
        <v>13107</v>
      </c>
      <c r="G14" s="4"/>
    </row>
    <row r="15" spans="1:7" x14ac:dyDescent="0.2">
      <c r="A15" s="3" t="s">
        <v>70</v>
      </c>
      <c r="B15" s="4">
        <v>163</v>
      </c>
      <c r="C15" s="4">
        <v>676</v>
      </c>
      <c r="D15" s="4">
        <f t="shared" si="0"/>
        <v>513</v>
      </c>
      <c r="E15" s="4">
        <v>3413</v>
      </c>
      <c r="F15" s="4">
        <v>14130</v>
      </c>
      <c r="G15" s="4"/>
    </row>
    <row r="16" spans="1:7" x14ac:dyDescent="0.2">
      <c r="A16" s="3" t="s">
        <v>71</v>
      </c>
      <c r="B16" s="4">
        <v>183</v>
      </c>
      <c r="C16" s="4">
        <v>643</v>
      </c>
      <c r="D16" s="4">
        <f t="shared" si="0"/>
        <v>460</v>
      </c>
      <c r="E16" s="4">
        <v>3385</v>
      </c>
      <c r="F16" s="4">
        <v>14309</v>
      </c>
      <c r="G16" s="4"/>
    </row>
    <row r="17" spans="1:7" x14ac:dyDescent="0.2">
      <c r="A17" s="3" t="s">
        <v>72</v>
      </c>
      <c r="B17" s="4">
        <v>139</v>
      </c>
      <c r="C17" s="4">
        <v>559</v>
      </c>
      <c r="D17" s="4">
        <f t="shared" si="0"/>
        <v>420</v>
      </c>
      <c r="E17" s="4">
        <v>3046</v>
      </c>
      <c r="F17" s="4">
        <v>14037</v>
      </c>
      <c r="G17" s="4"/>
    </row>
    <row r="18" spans="1:7" x14ac:dyDescent="0.2">
      <c r="A18" s="3">
        <v>2008</v>
      </c>
      <c r="B18" s="4">
        <v>167</v>
      </c>
      <c r="C18" s="4">
        <v>467</v>
      </c>
      <c r="D18" s="4">
        <f t="shared" si="0"/>
        <v>300</v>
      </c>
      <c r="E18" s="4">
        <v>3010</v>
      </c>
      <c r="F18" s="4">
        <v>13470</v>
      </c>
      <c r="G18" s="4"/>
    </row>
    <row r="19" spans="1:7" x14ac:dyDescent="0.2">
      <c r="A19" s="3" t="s">
        <v>2</v>
      </c>
      <c r="B19" s="4">
        <v>162</v>
      </c>
      <c r="C19" s="4">
        <v>487</v>
      </c>
      <c r="D19" s="4">
        <f t="shared" si="0"/>
        <v>325</v>
      </c>
      <c r="E19" s="4">
        <v>3056</v>
      </c>
      <c r="F19" s="4">
        <v>13796</v>
      </c>
      <c r="G19" s="4"/>
    </row>
    <row r="20" spans="1:7" x14ac:dyDescent="0.2">
      <c r="A20" s="3" t="s">
        <v>3</v>
      </c>
      <c r="B20" s="4">
        <v>126</v>
      </c>
      <c r="C20" s="4">
        <v>495</v>
      </c>
      <c r="D20" s="4">
        <f t="shared" si="0"/>
        <v>369</v>
      </c>
      <c r="E20" s="4">
        <v>2270</v>
      </c>
      <c r="F20" s="4">
        <v>13825</v>
      </c>
      <c r="G20" s="4"/>
    </row>
    <row r="21" spans="1:7" x14ac:dyDescent="0.2">
      <c r="A21" s="3" t="s">
        <v>4</v>
      </c>
      <c r="B21" s="4">
        <v>69</v>
      </c>
      <c r="C21" s="4">
        <v>449</v>
      </c>
      <c r="D21" s="4">
        <f t="shared" si="0"/>
        <v>380</v>
      </c>
      <c r="E21" s="4">
        <v>1598</v>
      </c>
      <c r="F21" s="4">
        <v>12394</v>
      </c>
      <c r="G21" s="4"/>
    </row>
    <row r="22" spans="1:7" x14ac:dyDescent="0.2">
      <c r="A22" s="3">
        <v>2009</v>
      </c>
      <c r="B22" s="4">
        <v>79</v>
      </c>
      <c r="C22" s="4">
        <v>377</v>
      </c>
      <c r="D22" s="4">
        <f t="shared" si="0"/>
        <v>298</v>
      </c>
      <c r="E22" s="4">
        <v>1861</v>
      </c>
      <c r="F22" s="4">
        <v>10751</v>
      </c>
      <c r="G22" s="4"/>
    </row>
    <row r="23" spans="1:7" x14ac:dyDescent="0.2">
      <c r="A23" s="3" t="s">
        <v>6</v>
      </c>
      <c r="B23" s="4">
        <v>172</v>
      </c>
      <c r="C23" s="4">
        <v>310</v>
      </c>
      <c r="D23" s="4">
        <f t="shared" si="0"/>
        <v>138</v>
      </c>
      <c r="E23" s="4">
        <v>2516</v>
      </c>
      <c r="F23" s="4">
        <v>10068</v>
      </c>
      <c r="G23" s="4"/>
    </row>
    <row r="24" spans="1:7" x14ac:dyDescent="0.2">
      <c r="A24" s="3" t="s">
        <v>7</v>
      </c>
      <c r="B24" s="4">
        <v>153</v>
      </c>
      <c r="C24" s="4">
        <v>298</v>
      </c>
      <c r="D24" s="4">
        <f t="shared" si="0"/>
        <v>145</v>
      </c>
      <c r="E24" s="4">
        <v>2560</v>
      </c>
      <c r="F24" s="4">
        <v>9312</v>
      </c>
      <c r="G24" s="4"/>
    </row>
    <row r="25" spans="1:7" x14ac:dyDescent="0.2">
      <c r="A25" s="3" t="s">
        <v>8</v>
      </c>
      <c r="B25" s="4">
        <v>135</v>
      </c>
      <c r="C25" s="4">
        <v>292</v>
      </c>
      <c r="D25" s="4">
        <f t="shared" si="0"/>
        <v>157</v>
      </c>
      <c r="E25" s="4">
        <v>2504</v>
      </c>
      <c r="F25" s="4">
        <v>8596</v>
      </c>
      <c r="G25" s="4"/>
    </row>
    <row r="26" spans="1:7" x14ac:dyDescent="0.2">
      <c r="A26" s="3">
        <v>2010</v>
      </c>
      <c r="B26" s="4">
        <v>143</v>
      </c>
      <c r="C26" s="4">
        <v>320</v>
      </c>
      <c r="D26" s="4">
        <f t="shared" si="0"/>
        <v>177</v>
      </c>
      <c r="E26" s="4">
        <v>2510</v>
      </c>
      <c r="F26" s="4">
        <v>8829</v>
      </c>
      <c r="G26" s="4"/>
    </row>
    <row r="27" spans="1:7" x14ac:dyDescent="0.2">
      <c r="A27" s="3" t="s">
        <v>10</v>
      </c>
      <c r="B27" s="4">
        <v>185</v>
      </c>
      <c r="C27" s="4">
        <v>381</v>
      </c>
      <c r="D27" s="4">
        <f t="shared" si="0"/>
        <v>196</v>
      </c>
      <c r="E27" s="4">
        <v>2736</v>
      </c>
      <c r="F27" s="4">
        <v>9826</v>
      </c>
      <c r="G27" s="4"/>
    </row>
    <row r="28" spans="1:7" x14ac:dyDescent="0.2">
      <c r="A28" s="3" t="s">
        <v>11</v>
      </c>
      <c r="B28" s="4">
        <v>183</v>
      </c>
      <c r="C28" s="4">
        <v>351</v>
      </c>
      <c r="D28" s="4">
        <f t="shared" si="0"/>
        <v>168</v>
      </c>
      <c r="E28" s="4">
        <v>2690</v>
      </c>
      <c r="F28" s="4">
        <v>9738</v>
      </c>
      <c r="G28" s="4"/>
    </row>
    <row r="29" spans="1:7" x14ac:dyDescent="0.2">
      <c r="A29" s="3" t="s">
        <v>12</v>
      </c>
      <c r="B29" s="4">
        <v>148</v>
      </c>
      <c r="C29" s="4">
        <v>316</v>
      </c>
      <c r="D29" s="4">
        <f t="shared" si="0"/>
        <v>168</v>
      </c>
      <c r="E29" s="4">
        <v>2495</v>
      </c>
      <c r="F29" s="4">
        <v>9173</v>
      </c>
      <c r="G29" s="4"/>
    </row>
    <row r="30" spans="1:7" x14ac:dyDescent="0.2">
      <c r="A30" s="3">
        <v>2011</v>
      </c>
      <c r="B30" s="4">
        <v>142</v>
      </c>
      <c r="C30" s="4">
        <v>367</v>
      </c>
      <c r="D30" s="4">
        <f t="shared" si="0"/>
        <v>225</v>
      </c>
      <c r="E30" s="4">
        <v>2355</v>
      </c>
      <c r="F30" s="4">
        <v>9677</v>
      </c>
      <c r="G30" s="4"/>
    </row>
    <row r="31" spans="1:7" x14ac:dyDescent="0.2">
      <c r="A31" s="3" t="s">
        <v>14</v>
      </c>
      <c r="B31" s="4">
        <v>107</v>
      </c>
      <c r="C31" s="4">
        <v>529</v>
      </c>
      <c r="D31" s="4">
        <f t="shared" si="0"/>
        <v>422</v>
      </c>
      <c r="E31" s="4">
        <v>2341</v>
      </c>
      <c r="F31" s="4">
        <v>10964</v>
      </c>
      <c r="G31" s="4"/>
    </row>
    <row r="32" spans="1:7" x14ac:dyDescent="0.2">
      <c r="A32" s="3" t="s">
        <v>15</v>
      </c>
      <c r="B32" s="4">
        <v>137</v>
      </c>
      <c r="C32" s="4">
        <v>563</v>
      </c>
      <c r="D32" s="4">
        <f t="shared" si="0"/>
        <v>426</v>
      </c>
      <c r="E32" s="4">
        <v>2395</v>
      </c>
      <c r="F32" s="4">
        <v>10576</v>
      </c>
      <c r="G32" s="4"/>
    </row>
    <row r="33" spans="1:7" x14ac:dyDescent="0.2">
      <c r="A33" s="3" t="s">
        <v>16</v>
      </c>
      <c r="B33" s="4">
        <v>123</v>
      </c>
      <c r="C33" s="4">
        <v>417</v>
      </c>
      <c r="D33" s="4">
        <f t="shared" si="0"/>
        <v>294</v>
      </c>
      <c r="E33" s="4">
        <v>2188</v>
      </c>
      <c r="F33" s="4">
        <v>9324</v>
      </c>
      <c r="G33" s="4"/>
    </row>
    <row r="34" spans="1:7" x14ac:dyDescent="0.2">
      <c r="A34" s="3">
        <v>2012</v>
      </c>
      <c r="B34" s="4">
        <v>113</v>
      </c>
      <c r="C34" s="4">
        <v>349</v>
      </c>
      <c r="D34" s="4">
        <f t="shared" si="0"/>
        <v>236</v>
      </c>
      <c r="E34" s="4">
        <v>2375</v>
      </c>
      <c r="F34" s="4">
        <v>8451</v>
      </c>
      <c r="G34" s="4"/>
    </row>
    <row r="35" spans="1:7" x14ac:dyDescent="0.2">
      <c r="A35" s="3" t="s">
        <v>18</v>
      </c>
      <c r="B35" s="4">
        <v>142</v>
      </c>
      <c r="C35" s="4">
        <v>343</v>
      </c>
      <c r="D35" s="4">
        <f t="shared" si="0"/>
        <v>201</v>
      </c>
      <c r="E35" s="4">
        <v>2837</v>
      </c>
      <c r="F35" s="4">
        <v>8046</v>
      </c>
      <c r="G35" s="4"/>
    </row>
    <row r="36" spans="1:7" x14ac:dyDescent="0.2">
      <c r="A36" s="3" t="s">
        <v>19</v>
      </c>
      <c r="B36" s="4">
        <v>163</v>
      </c>
      <c r="C36" s="4">
        <v>338</v>
      </c>
      <c r="D36" s="4">
        <f t="shared" si="0"/>
        <v>175</v>
      </c>
      <c r="E36" s="4">
        <v>2990</v>
      </c>
      <c r="F36" s="4">
        <v>7385</v>
      </c>
      <c r="G36" s="4"/>
    </row>
    <row r="37" spans="1:7" x14ac:dyDescent="0.2">
      <c r="A37" s="3" t="s">
        <v>20</v>
      </c>
      <c r="B37" s="4">
        <v>134</v>
      </c>
      <c r="C37" s="4">
        <v>309</v>
      </c>
      <c r="D37" s="4">
        <f t="shared" si="0"/>
        <v>175</v>
      </c>
      <c r="E37" s="4">
        <v>2602</v>
      </c>
      <c r="F37" s="4">
        <v>6723</v>
      </c>
      <c r="G37" s="4"/>
    </row>
    <row r="38" spans="1:7" x14ac:dyDescent="0.2">
      <c r="A38" s="3">
        <v>2013</v>
      </c>
      <c r="B38" s="4">
        <v>129</v>
      </c>
      <c r="C38" s="4">
        <v>311</v>
      </c>
      <c r="D38" s="4">
        <f t="shared" si="0"/>
        <v>182</v>
      </c>
      <c r="E38" s="4">
        <v>2467</v>
      </c>
      <c r="F38" s="4">
        <v>7026</v>
      </c>
      <c r="G38" s="4"/>
    </row>
    <row r="39" spans="1:7" x14ac:dyDescent="0.2">
      <c r="A39" s="3" t="s">
        <v>22</v>
      </c>
      <c r="B39" s="4">
        <v>145</v>
      </c>
      <c r="C39" s="4">
        <v>351</v>
      </c>
      <c r="D39" s="4">
        <f t="shared" si="0"/>
        <v>206</v>
      </c>
      <c r="E39" s="4">
        <v>2800</v>
      </c>
      <c r="F39" s="4">
        <v>7399</v>
      </c>
      <c r="G39" s="4"/>
    </row>
    <row r="40" spans="1:7" x14ac:dyDescent="0.2">
      <c r="A40" s="3" t="s">
        <v>23</v>
      </c>
      <c r="B40" s="4">
        <v>155</v>
      </c>
      <c r="C40" s="4">
        <v>349</v>
      </c>
      <c r="D40" s="4">
        <f t="shared" si="0"/>
        <v>194</v>
      </c>
      <c r="E40" s="4">
        <v>2975</v>
      </c>
      <c r="F40" s="4">
        <v>7530</v>
      </c>
      <c r="G40" s="4"/>
    </row>
    <row r="41" spans="1:7" x14ac:dyDescent="0.2">
      <c r="A41" s="3" t="s">
        <v>24</v>
      </c>
      <c r="B41" s="4">
        <v>112</v>
      </c>
      <c r="C41" s="4">
        <v>311</v>
      </c>
      <c r="D41" s="4">
        <f t="shared" si="0"/>
        <v>199</v>
      </c>
      <c r="E41" s="4">
        <v>2764</v>
      </c>
      <c r="F41" s="4">
        <v>6893</v>
      </c>
      <c r="G41" s="4"/>
    </row>
    <row r="42" spans="1:7" x14ac:dyDescent="0.2">
      <c r="A42" s="3">
        <v>2014</v>
      </c>
      <c r="B42" s="4">
        <v>143</v>
      </c>
      <c r="C42" s="4">
        <v>316</v>
      </c>
      <c r="D42" s="4">
        <f t="shared" si="0"/>
        <v>173</v>
      </c>
      <c r="E42" s="4">
        <v>2989</v>
      </c>
      <c r="F42" s="4">
        <v>6983</v>
      </c>
      <c r="G42" s="4"/>
    </row>
    <row r="43" spans="1:7" x14ac:dyDescent="0.2">
      <c r="A43" s="3" t="s">
        <v>26</v>
      </c>
      <c r="B43" s="4">
        <v>166</v>
      </c>
      <c r="C43" s="4">
        <v>361</v>
      </c>
      <c r="D43" s="4">
        <f t="shared" si="0"/>
        <v>195</v>
      </c>
      <c r="E43" s="4">
        <v>3330</v>
      </c>
      <c r="F43" s="4">
        <v>7571</v>
      </c>
      <c r="G43" s="4"/>
    </row>
    <row r="44" spans="1:7" x14ac:dyDescent="0.2">
      <c r="A44" s="3" t="s">
        <v>27</v>
      </c>
      <c r="B44" s="4">
        <v>204</v>
      </c>
      <c r="C44" s="4">
        <v>378</v>
      </c>
      <c r="D44" s="4">
        <f t="shared" si="0"/>
        <v>174</v>
      </c>
      <c r="E44" s="4">
        <v>3691</v>
      </c>
      <c r="F44" s="4">
        <v>7372</v>
      </c>
      <c r="G44" s="4"/>
    </row>
    <row r="45" spans="1:7" x14ac:dyDescent="0.2">
      <c r="A45" s="3" t="s">
        <v>28</v>
      </c>
      <c r="B45" s="4">
        <v>173</v>
      </c>
      <c r="C45" s="4">
        <v>290</v>
      </c>
      <c r="D45" s="4">
        <f t="shared" si="0"/>
        <v>117</v>
      </c>
      <c r="E45" s="4">
        <v>3523</v>
      </c>
      <c r="F45" s="4">
        <v>6206</v>
      </c>
      <c r="G45" s="4"/>
    </row>
    <row r="46" spans="1:7" x14ac:dyDescent="0.2">
      <c r="A46" s="3">
        <v>2015</v>
      </c>
      <c r="B46" s="4">
        <v>241</v>
      </c>
      <c r="C46" s="4">
        <v>240</v>
      </c>
      <c r="D46" s="4">
        <f t="shared" si="0"/>
        <v>0</v>
      </c>
      <c r="E46" s="4">
        <v>4223</v>
      </c>
      <c r="F46" s="4">
        <v>5966</v>
      </c>
      <c r="G46" s="4"/>
    </row>
    <row r="47" spans="1:7" x14ac:dyDescent="0.2">
      <c r="A47" s="3" t="s">
        <v>30</v>
      </c>
      <c r="B47" s="4">
        <v>292</v>
      </c>
      <c r="C47" s="4">
        <v>261</v>
      </c>
      <c r="D47" s="4">
        <f t="shared" si="0"/>
        <v>0</v>
      </c>
      <c r="E47" s="4">
        <v>4467</v>
      </c>
      <c r="F47" s="4">
        <v>6560</v>
      </c>
      <c r="G47" s="4"/>
    </row>
    <row r="48" spans="1:7" x14ac:dyDescent="0.2">
      <c r="A48" s="3" t="s">
        <v>31</v>
      </c>
      <c r="B48" s="4">
        <v>225</v>
      </c>
      <c r="C48" s="4">
        <v>315</v>
      </c>
      <c r="D48" s="4">
        <f t="shared" si="0"/>
        <v>90</v>
      </c>
      <c r="E48" s="4">
        <v>4168</v>
      </c>
      <c r="F48" s="4">
        <v>7080</v>
      </c>
      <c r="G48" s="4"/>
    </row>
    <row r="49" spans="1:7" x14ac:dyDescent="0.2">
      <c r="A49" s="3" t="s">
        <v>32</v>
      </c>
      <c r="B49" s="4">
        <v>185</v>
      </c>
      <c r="C49" s="4">
        <v>273</v>
      </c>
      <c r="D49" s="4">
        <f t="shared" si="0"/>
        <v>88</v>
      </c>
      <c r="E49" s="4">
        <v>3580</v>
      </c>
      <c r="F49" s="4">
        <v>6573</v>
      </c>
      <c r="G49" s="4"/>
    </row>
    <row r="50" spans="1:7" x14ac:dyDescent="0.2">
      <c r="A50" s="3">
        <v>2016</v>
      </c>
      <c r="B50" s="4">
        <v>182</v>
      </c>
      <c r="C50" s="4">
        <v>290</v>
      </c>
      <c r="D50" s="4">
        <f t="shared" si="0"/>
        <v>108</v>
      </c>
      <c r="E50" s="4">
        <v>3756</v>
      </c>
      <c r="F50" s="4">
        <v>6891</v>
      </c>
      <c r="G50" s="4"/>
    </row>
    <row r="51" spans="1:7" x14ac:dyDescent="0.2">
      <c r="A51" s="3" t="s">
        <v>34</v>
      </c>
      <c r="B51" s="4">
        <v>234</v>
      </c>
      <c r="C51" s="4">
        <v>370</v>
      </c>
      <c r="D51" s="4">
        <f t="shared" si="0"/>
        <v>136</v>
      </c>
      <c r="E51" s="4">
        <v>4331</v>
      </c>
      <c r="F51" s="4">
        <v>7334</v>
      </c>
      <c r="G51" s="4"/>
    </row>
    <row r="52" spans="1:7" x14ac:dyDescent="0.2">
      <c r="A52" s="3" t="s">
        <v>35</v>
      </c>
      <c r="B52" s="4">
        <v>236</v>
      </c>
      <c r="C52" s="4">
        <v>375</v>
      </c>
      <c r="D52" s="4">
        <f t="shared" si="0"/>
        <v>139</v>
      </c>
      <c r="E52" s="4">
        <v>4193</v>
      </c>
      <c r="F52" s="4">
        <v>7189</v>
      </c>
      <c r="G52" s="4"/>
    </row>
    <row r="53" spans="1:7" x14ac:dyDescent="0.2">
      <c r="A53" s="3" t="s">
        <v>36</v>
      </c>
      <c r="B53" s="4">
        <v>177</v>
      </c>
      <c r="C53" s="4">
        <v>323</v>
      </c>
      <c r="D53" s="4">
        <f t="shared" si="0"/>
        <v>146</v>
      </c>
      <c r="E53" s="4">
        <v>3772</v>
      </c>
      <c r="F53" s="4">
        <v>6633</v>
      </c>
      <c r="G53" s="4"/>
    </row>
    <row r="54" spans="1:7" x14ac:dyDescent="0.2">
      <c r="A54" s="3">
        <v>2017</v>
      </c>
      <c r="B54" s="4">
        <v>199</v>
      </c>
      <c r="C54" s="4">
        <v>309</v>
      </c>
      <c r="D54" s="4">
        <f t="shared" si="0"/>
        <v>110</v>
      </c>
      <c r="E54" s="4">
        <v>4150</v>
      </c>
      <c r="F54" s="4">
        <v>6258</v>
      </c>
      <c r="G54" s="4"/>
    </row>
    <row r="55" spans="1:7" x14ac:dyDescent="0.2">
      <c r="A55" s="3" t="s">
        <v>38</v>
      </c>
      <c r="B55" s="4">
        <v>250</v>
      </c>
      <c r="C55" s="4">
        <v>319</v>
      </c>
      <c r="D55" s="4">
        <f t="shared" si="0"/>
        <v>69</v>
      </c>
      <c r="E55" s="4">
        <v>4263</v>
      </c>
      <c r="F55" s="4">
        <v>6373</v>
      </c>
      <c r="G55" s="4"/>
    </row>
    <row r="56" spans="1:7" x14ac:dyDescent="0.2">
      <c r="A56" s="3" t="s">
        <v>39</v>
      </c>
      <c r="B56" s="4">
        <v>200</v>
      </c>
      <c r="C56" s="4">
        <v>353</v>
      </c>
      <c r="D56" s="4">
        <f t="shared" si="0"/>
        <v>153</v>
      </c>
      <c r="E56" s="4">
        <v>4124</v>
      </c>
      <c r="F56" s="4">
        <v>6651</v>
      </c>
      <c r="G56" s="4"/>
    </row>
    <row r="57" spans="1:7" x14ac:dyDescent="0.2">
      <c r="A57" s="3" t="s">
        <v>40</v>
      </c>
      <c r="B57" s="4">
        <v>193</v>
      </c>
      <c r="C57" s="4">
        <v>340</v>
      </c>
      <c r="D57" s="4">
        <f t="shared" si="0"/>
        <v>147</v>
      </c>
      <c r="E57" s="4">
        <v>3793</v>
      </c>
      <c r="F57" s="4">
        <v>6040</v>
      </c>
      <c r="G57" s="4"/>
    </row>
    <row r="58" spans="1:7" x14ac:dyDescent="0.2">
      <c r="A58" s="3">
        <v>2018</v>
      </c>
      <c r="B58" s="4">
        <v>163</v>
      </c>
      <c r="C58" s="4">
        <v>427</v>
      </c>
      <c r="D58" s="4">
        <f t="shared" si="0"/>
        <v>264</v>
      </c>
      <c r="E58" s="4">
        <v>3722</v>
      </c>
      <c r="F58" s="4">
        <v>6627</v>
      </c>
      <c r="G58" s="4"/>
    </row>
    <row r="59" spans="1:7" x14ac:dyDescent="0.2">
      <c r="A59" s="3" t="s">
        <v>42</v>
      </c>
      <c r="B59" s="4">
        <v>240</v>
      </c>
      <c r="C59" s="4">
        <v>507</v>
      </c>
      <c r="D59" s="4">
        <f t="shared" si="0"/>
        <v>267</v>
      </c>
      <c r="E59" s="4">
        <v>4005</v>
      </c>
      <c r="F59" s="4">
        <v>7356</v>
      </c>
      <c r="G59" s="4"/>
    </row>
    <row r="60" spans="1:7" x14ac:dyDescent="0.2">
      <c r="A60" s="3" t="s">
        <v>43</v>
      </c>
      <c r="B60" s="4">
        <v>231</v>
      </c>
      <c r="C60" s="4">
        <v>509</v>
      </c>
      <c r="D60" s="4">
        <f t="shared" si="0"/>
        <v>278</v>
      </c>
      <c r="E60" s="4">
        <v>3881</v>
      </c>
      <c r="F60" s="4">
        <v>7818</v>
      </c>
      <c r="G60" s="4"/>
    </row>
    <row r="61" spans="1:7" x14ac:dyDescent="0.2">
      <c r="A61" s="3" t="s">
        <v>44</v>
      </c>
      <c r="B61" s="4">
        <v>171</v>
      </c>
      <c r="C61" s="4">
        <v>484</v>
      </c>
      <c r="D61" s="4">
        <f t="shared" si="0"/>
        <v>313</v>
      </c>
      <c r="E61" s="4">
        <v>3428</v>
      </c>
      <c r="F61" s="4">
        <v>7404</v>
      </c>
      <c r="G61" s="4"/>
    </row>
    <row r="62" spans="1:7" x14ac:dyDescent="0.2">
      <c r="A62" s="3">
        <v>2019</v>
      </c>
      <c r="B62" s="4">
        <v>217</v>
      </c>
      <c r="C62" s="4">
        <v>507</v>
      </c>
      <c r="D62" s="4">
        <f t="shared" si="0"/>
        <v>290</v>
      </c>
      <c r="E62" s="4">
        <v>3471</v>
      </c>
      <c r="F62" s="4">
        <v>7620</v>
      </c>
      <c r="G62" s="4"/>
    </row>
    <row r="63" spans="1:7" x14ac:dyDescent="0.2">
      <c r="A63" s="3" t="s">
        <v>46</v>
      </c>
      <c r="B63" s="4">
        <v>220</v>
      </c>
      <c r="C63" s="4">
        <v>537</v>
      </c>
      <c r="D63" s="4">
        <f t="shared" si="0"/>
        <v>317</v>
      </c>
      <c r="E63" s="4">
        <v>3945</v>
      </c>
      <c r="F63" s="4">
        <v>7962</v>
      </c>
      <c r="G63" s="4"/>
    </row>
    <row r="64" spans="1:7" x14ac:dyDescent="0.2">
      <c r="A64" s="3" t="s">
        <v>47</v>
      </c>
      <c r="B64" s="4">
        <v>254</v>
      </c>
      <c r="C64" s="4">
        <v>513</v>
      </c>
      <c r="D64" s="4">
        <f t="shared" si="0"/>
        <v>259</v>
      </c>
      <c r="E64" s="4">
        <v>3977</v>
      </c>
      <c r="F64" s="4">
        <v>7632</v>
      </c>
      <c r="G64" s="4"/>
    </row>
    <row r="65" spans="1:7" x14ac:dyDescent="0.2">
      <c r="A65" s="3" t="s">
        <v>48</v>
      </c>
      <c r="B65" s="4">
        <v>235</v>
      </c>
      <c r="C65" s="4">
        <v>402</v>
      </c>
      <c r="D65" s="4">
        <f t="shared" si="0"/>
        <v>167</v>
      </c>
      <c r="E65" s="4">
        <v>3837</v>
      </c>
      <c r="F65" s="4">
        <v>6764</v>
      </c>
      <c r="G65" s="4"/>
    </row>
    <row r="66" spans="1:7" x14ac:dyDescent="0.2">
      <c r="A66" s="3">
        <v>2020</v>
      </c>
      <c r="B66" s="4">
        <v>218</v>
      </c>
      <c r="C66" s="4">
        <v>365</v>
      </c>
      <c r="D66" s="4">
        <f t="shared" si="0"/>
        <v>147</v>
      </c>
      <c r="E66" s="4">
        <v>3634</v>
      </c>
      <c r="F66" s="4">
        <v>6522</v>
      </c>
      <c r="G66" s="4"/>
    </row>
    <row r="67" spans="1:7" x14ac:dyDescent="0.2">
      <c r="A67" s="3" t="s">
        <v>50</v>
      </c>
      <c r="B67" s="4">
        <v>264</v>
      </c>
      <c r="C67" s="4">
        <v>361</v>
      </c>
      <c r="D67" s="4">
        <f t="shared" ref="D67:D69" si="1">IF(C67-B67&lt;0,0,C67-B67)</f>
        <v>97</v>
      </c>
      <c r="E67" s="4">
        <v>3952</v>
      </c>
      <c r="F67" s="4">
        <v>6457</v>
      </c>
      <c r="G67" s="4"/>
    </row>
    <row r="68" spans="1:7" x14ac:dyDescent="0.2">
      <c r="A68" s="3" t="s">
        <v>51</v>
      </c>
      <c r="B68" s="4">
        <v>262</v>
      </c>
      <c r="C68" s="4">
        <v>333</v>
      </c>
      <c r="D68" s="4">
        <f t="shared" si="1"/>
        <v>71</v>
      </c>
      <c r="E68" s="4">
        <v>4713</v>
      </c>
      <c r="F68" s="4">
        <v>5956</v>
      </c>
      <c r="G68" s="4"/>
    </row>
    <row r="69" spans="1:7" x14ac:dyDescent="0.2">
      <c r="A69" s="3" t="s">
        <v>53</v>
      </c>
      <c r="B69" s="4">
        <v>279</v>
      </c>
      <c r="C69" s="4">
        <v>251</v>
      </c>
      <c r="D69" s="4">
        <f t="shared" si="1"/>
        <v>0</v>
      </c>
      <c r="E69" s="4">
        <v>4625</v>
      </c>
      <c r="F69" s="4">
        <v>4810</v>
      </c>
      <c r="G69" s="4"/>
    </row>
    <row r="71" spans="1:7" x14ac:dyDescent="0.2">
      <c r="A71" s="1"/>
      <c r="B71" s="17"/>
      <c r="C71" s="17"/>
      <c r="D71" s="17"/>
      <c r="E71" s="17"/>
      <c r="F71" s="1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016D4-C24A-0F4A-B74E-DD7985D3078E}">
  <dimension ref="A1:DM124"/>
  <sheetViews>
    <sheetView topLeftCell="A100" zoomScale="111" workbookViewId="0">
      <selection activeCell="I6" sqref="I6"/>
    </sheetView>
  </sheetViews>
  <sheetFormatPr baseColWidth="10" defaultColWidth="8.83203125" defaultRowHeight="15" x14ac:dyDescent="0.2"/>
  <cols>
    <col min="1" max="1" width="22.6640625" style="10" customWidth="1"/>
    <col min="2" max="2" width="19.5" style="10" bestFit="1" customWidth="1"/>
    <col min="3" max="3" width="23.5" style="10" bestFit="1" customWidth="1"/>
    <col min="4" max="4" width="21.1640625" style="10" bestFit="1" customWidth="1"/>
    <col min="5" max="117" width="9.1640625" style="10" customWidth="1"/>
    <col min="118" max="16384" width="8.83203125" style="10"/>
  </cols>
  <sheetData>
    <row r="1" spans="1:117" ht="17" x14ac:dyDescent="0.2">
      <c r="A1" s="18" t="s">
        <v>76</v>
      </c>
    </row>
    <row r="2" spans="1:117" x14ac:dyDescent="0.2">
      <c r="A2" s="19" t="s">
        <v>0</v>
      </c>
    </row>
    <row r="3" spans="1:117" x14ac:dyDescent="0.2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 x14ac:dyDescent="0.2">
      <c r="A4" s="3" t="s">
        <v>77</v>
      </c>
      <c r="B4" s="3" t="s">
        <v>78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</row>
    <row r="5" spans="1:117" x14ac:dyDescent="0.2">
      <c r="B5" s="3" t="s">
        <v>60</v>
      </c>
      <c r="C5" s="3" t="s">
        <v>79</v>
      </c>
      <c r="D5" s="3" t="s">
        <v>80</v>
      </c>
    </row>
    <row r="6" spans="1:117" x14ac:dyDescent="0.2">
      <c r="B6" s="10" t="s">
        <v>81</v>
      </c>
      <c r="C6" s="10" t="s">
        <v>82</v>
      </c>
      <c r="D6" s="10" t="s">
        <v>83</v>
      </c>
    </row>
    <row r="7" spans="1:117" x14ac:dyDescent="0.2">
      <c r="A7" s="3">
        <v>1992</v>
      </c>
      <c r="B7" s="4">
        <v>7439</v>
      </c>
      <c r="C7" s="4">
        <v>4021</v>
      </c>
      <c r="D7" s="4">
        <v>5820</v>
      </c>
    </row>
    <row r="8" spans="1:117" x14ac:dyDescent="0.2">
      <c r="A8" s="3" t="s">
        <v>84</v>
      </c>
      <c r="B8" s="4">
        <v>7347</v>
      </c>
      <c r="C8" s="4">
        <v>4129</v>
      </c>
      <c r="D8" s="4">
        <v>5850</v>
      </c>
    </row>
    <row r="9" spans="1:117" x14ac:dyDescent="0.2">
      <c r="A9" s="3" t="s">
        <v>85</v>
      </c>
      <c r="B9" s="4">
        <v>7597</v>
      </c>
      <c r="C9" s="4">
        <v>4000</v>
      </c>
      <c r="D9" s="4">
        <v>5737</v>
      </c>
    </row>
    <row r="10" spans="1:117" x14ac:dyDescent="0.2">
      <c r="A10" s="3" t="s">
        <v>86</v>
      </c>
      <c r="B10" s="4">
        <v>7151</v>
      </c>
      <c r="C10" s="4">
        <v>3945</v>
      </c>
      <c r="D10" s="4">
        <v>5443</v>
      </c>
    </row>
    <row r="11" spans="1:117" x14ac:dyDescent="0.2">
      <c r="A11" s="3">
        <v>1993</v>
      </c>
      <c r="B11" s="4">
        <v>6413</v>
      </c>
      <c r="C11" s="4">
        <v>3851</v>
      </c>
      <c r="D11" s="4">
        <v>5304</v>
      </c>
    </row>
    <row r="12" spans="1:117" x14ac:dyDescent="0.2">
      <c r="A12" s="3" t="s">
        <v>87</v>
      </c>
      <c r="B12" s="4">
        <v>7076</v>
      </c>
      <c r="C12" s="4">
        <v>4135</v>
      </c>
      <c r="D12" s="4">
        <v>5452</v>
      </c>
    </row>
    <row r="13" spans="1:117" x14ac:dyDescent="0.2">
      <c r="A13" s="3" t="s">
        <v>88</v>
      </c>
      <c r="B13" s="4">
        <v>7544</v>
      </c>
      <c r="C13" s="4">
        <v>4296</v>
      </c>
      <c r="D13" s="4">
        <v>5801</v>
      </c>
    </row>
    <row r="14" spans="1:117" x14ac:dyDescent="0.2">
      <c r="A14" s="3" t="s">
        <v>89</v>
      </c>
      <c r="B14" s="4">
        <v>7326</v>
      </c>
      <c r="C14" s="4">
        <v>4301</v>
      </c>
      <c r="D14" s="4">
        <v>5609</v>
      </c>
    </row>
    <row r="15" spans="1:117" x14ac:dyDescent="0.2">
      <c r="A15" s="3">
        <v>1994</v>
      </c>
      <c r="B15" s="4">
        <v>7690</v>
      </c>
      <c r="C15" s="4">
        <v>4333</v>
      </c>
      <c r="D15" s="4">
        <v>5776</v>
      </c>
    </row>
    <row r="16" spans="1:117" x14ac:dyDescent="0.2">
      <c r="A16" s="3" t="s">
        <v>90</v>
      </c>
      <c r="B16" s="4">
        <v>7430</v>
      </c>
      <c r="C16" s="4">
        <v>4432</v>
      </c>
      <c r="D16" s="4">
        <v>5784</v>
      </c>
    </row>
    <row r="17" spans="1:4" x14ac:dyDescent="0.2">
      <c r="A17" s="3" t="s">
        <v>91</v>
      </c>
      <c r="B17" s="4">
        <v>7680</v>
      </c>
      <c r="C17" s="4">
        <v>4443</v>
      </c>
      <c r="D17" s="4">
        <v>5748</v>
      </c>
    </row>
    <row r="18" spans="1:4" x14ac:dyDescent="0.2">
      <c r="A18" s="3" t="s">
        <v>92</v>
      </c>
      <c r="B18" s="4">
        <v>7519</v>
      </c>
      <c r="C18" s="4">
        <v>4403</v>
      </c>
      <c r="D18" s="4">
        <v>5672</v>
      </c>
    </row>
    <row r="19" spans="1:4" x14ac:dyDescent="0.2">
      <c r="A19" s="3">
        <v>1995</v>
      </c>
      <c r="B19" s="4">
        <v>7377</v>
      </c>
      <c r="C19" s="4">
        <v>4450</v>
      </c>
      <c r="D19" s="4">
        <v>5663</v>
      </c>
    </row>
    <row r="20" spans="1:4" x14ac:dyDescent="0.2">
      <c r="A20" s="3" t="s">
        <v>93</v>
      </c>
      <c r="B20" s="4">
        <v>8073</v>
      </c>
      <c r="C20" s="4">
        <v>4593</v>
      </c>
      <c r="D20" s="4">
        <v>5834</v>
      </c>
    </row>
    <row r="21" spans="1:4" x14ac:dyDescent="0.2">
      <c r="A21" s="3" t="s">
        <v>94</v>
      </c>
      <c r="B21" s="4">
        <v>8453</v>
      </c>
      <c r="C21" s="4">
        <v>4635</v>
      </c>
      <c r="D21" s="4">
        <v>6032</v>
      </c>
    </row>
    <row r="22" spans="1:4" x14ac:dyDescent="0.2">
      <c r="A22" s="3" t="s">
        <v>95</v>
      </c>
      <c r="B22" s="4">
        <v>8406</v>
      </c>
      <c r="C22" s="4">
        <v>4840</v>
      </c>
      <c r="D22" s="4">
        <v>6067</v>
      </c>
    </row>
    <row r="23" spans="1:4" x14ac:dyDescent="0.2">
      <c r="A23" s="3">
        <v>1996</v>
      </c>
      <c r="B23" s="4">
        <v>8620</v>
      </c>
      <c r="C23" s="4">
        <v>4946</v>
      </c>
      <c r="D23" s="4">
        <v>6191</v>
      </c>
    </row>
    <row r="24" spans="1:4" x14ac:dyDescent="0.2">
      <c r="A24" s="3" t="s">
        <v>96</v>
      </c>
      <c r="B24" s="4">
        <v>9303</v>
      </c>
      <c r="C24" s="4">
        <v>5151</v>
      </c>
      <c r="D24" s="4">
        <v>6609</v>
      </c>
    </row>
    <row r="25" spans="1:4" x14ac:dyDescent="0.2">
      <c r="A25" s="3" t="s">
        <v>97</v>
      </c>
      <c r="B25" s="4">
        <v>9726</v>
      </c>
      <c r="C25" s="4">
        <v>5229</v>
      </c>
      <c r="D25" s="4">
        <v>6621</v>
      </c>
    </row>
    <row r="26" spans="1:4" x14ac:dyDescent="0.2">
      <c r="A26" s="3" t="s">
        <v>98</v>
      </c>
      <c r="B26" s="4">
        <v>9648</v>
      </c>
      <c r="C26" s="4">
        <v>5344</v>
      </c>
      <c r="D26" s="4">
        <v>6631</v>
      </c>
    </row>
    <row r="27" spans="1:4" x14ac:dyDescent="0.2">
      <c r="A27" s="3">
        <v>1997</v>
      </c>
      <c r="B27" s="4">
        <v>10447</v>
      </c>
      <c r="C27" s="4">
        <v>5567</v>
      </c>
      <c r="D27" s="4">
        <v>6907</v>
      </c>
    </row>
    <row r="28" spans="1:4" x14ac:dyDescent="0.2">
      <c r="A28" s="3" t="s">
        <v>99</v>
      </c>
      <c r="B28" s="4">
        <v>10324</v>
      </c>
      <c r="C28" s="4">
        <v>5733</v>
      </c>
      <c r="D28" s="4">
        <v>7237</v>
      </c>
    </row>
    <row r="29" spans="1:4" x14ac:dyDescent="0.2">
      <c r="A29" s="3" t="s">
        <v>100</v>
      </c>
      <c r="B29" s="4">
        <v>10941</v>
      </c>
      <c r="C29" s="4">
        <v>5806</v>
      </c>
      <c r="D29" s="4">
        <v>7464</v>
      </c>
    </row>
    <row r="30" spans="1:4" x14ac:dyDescent="0.2">
      <c r="A30" s="3" t="s">
        <v>101</v>
      </c>
      <c r="B30" s="4">
        <v>10619</v>
      </c>
      <c r="C30" s="4">
        <v>5870</v>
      </c>
      <c r="D30" s="4">
        <v>7648</v>
      </c>
    </row>
    <row r="31" spans="1:4" x14ac:dyDescent="0.2">
      <c r="A31" s="3">
        <v>1998</v>
      </c>
      <c r="B31" s="4">
        <v>11170</v>
      </c>
      <c r="C31" s="4">
        <v>6111</v>
      </c>
      <c r="D31" s="4">
        <v>7956</v>
      </c>
    </row>
    <row r="32" spans="1:4" x14ac:dyDescent="0.2">
      <c r="A32" s="3" t="s">
        <v>102</v>
      </c>
      <c r="B32" s="4">
        <v>11693</v>
      </c>
      <c r="C32" s="4">
        <v>6313</v>
      </c>
      <c r="D32" s="4">
        <v>8337</v>
      </c>
    </row>
    <row r="33" spans="1:4" x14ac:dyDescent="0.2">
      <c r="A33" s="3" t="s">
        <v>103</v>
      </c>
      <c r="B33" s="4">
        <v>12575</v>
      </c>
      <c r="C33" s="4">
        <v>6233</v>
      </c>
      <c r="D33" s="4">
        <v>8627</v>
      </c>
    </row>
    <row r="34" spans="1:4" x14ac:dyDescent="0.2">
      <c r="A34" s="3" t="s">
        <v>104</v>
      </c>
      <c r="B34" s="4">
        <v>11919</v>
      </c>
      <c r="C34" s="4">
        <v>6344</v>
      </c>
      <c r="D34" s="4">
        <v>8773</v>
      </c>
    </row>
    <row r="35" spans="1:4" x14ac:dyDescent="0.2">
      <c r="A35" s="3">
        <v>1999</v>
      </c>
      <c r="B35" s="4">
        <v>12018</v>
      </c>
      <c r="C35" s="4">
        <v>6616</v>
      </c>
      <c r="D35" s="4">
        <v>9261</v>
      </c>
    </row>
    <row r="36" spans="1:4" x14ac:dyDescent="0.2">
      <c r="A36" s="3" t="s">
        <v>105</v>
      </c>
      <c r="B36" s="4">
        <v>12803</v>
      </c>
      <c r="C36" s="4">
        <v>6907</v>
      </c>
      <c r="D36" s="4">
        <v>9679</v>
      </c>
    </row>
    <row r="37" spans="1:4" x14ac:dyDescent="0.2">
      <c r="A37" s="3" t="s">
        <v>106</v>
      </c>
      <c r="B37" s="4">
        <v>12842</v>
      </c>
      <c r="C37" s="4">
        <v>6825</v>
      </c>
      <c r="D37" s="4">
        <v>9952</v>
      </c>
    </row>
    <row r="38" spans="1:4" x14ac:dyDescent="0.2">
      <c r="A38" s="3" t="s">
        <v>107</v>
      </c>
      <c r="B38" s="4">
        <v>12931</v>
      </c>
      <c r="C38" s="4">
        <v>6846</v>
      </c>
      <c r="D38" s="4">
        <v>9958</v>
      </c>
    </row>
    <row r="39" spans="1:4" x14ac:dyDescent="0.2">
      <c r="A39" s="3">
        <v>2000</v>
      </c>
      <c r="B39" s="4">
        <v>12246</v>
      </c>
      <c r="C39" s="4">
        <v>7023</v>
      </c>
      <c r="D39" s="4">
        <v>10204</v>
      </c>
    </row>
    <row r="40" spans="1:4" x14ac:dyDescent="0.2">
      <c r="A40" s="3" t="s">
        <v>108</v>
      </c>
      <c r="B40" s="4">
        <v>13193</v>
      </c>
      <c r="C40" s="4">
        <v>7268</v>
      </c>
      <c r="D40" s="4">
        <v>10654</v>
      </c>
    </row>
    <row r="41" spans="1:4" x14ac:dyDescent="0.2">
      <c r="A41" s="3" t="s">
        <v>109</v>
      </c>
      <c r="B41" s="4">
        <v>13760</v>
      </c>
      <c r="C41" s="4">
        <v>7348</v>
      </c>
      <c r="D41" s="4">
        <v>10946</v>
      </c>
    </row>
    <row r="42" spans="1:4" x14ac:dyDescent="0.2">
      <c r="A42" s="3" t="s">
        <v>110</v>
      </c>
      <c r="B42" s="4">
        <v>12907</v>
      </c>
      <c r="C42" s="4">
        <v>7352</v>
      </c>
      <c r="D42" s="4">
        <v>11012</v>
      </c>
    </row>
    <row r="43" spans="1:4" x14ac:dyDescent="0.2">
      <c r="A43" s="3">
        <v>2001</v>
      </c>
      <c r="B43" s="4">
        <v>13564</v>
      </c>
      <c r="C43" s="4">
        <v>7611</v>
      </c>
      <c r="D43" s="4">
        <v>11523</v>
      </c>
    </row>
    <row r="44" spans="1:4" x14ac:dyDescent="0.2">
      <c r="A44" s="3" t="s">
        <v>111</v>
      </c>
      <c r="B44" s="4">
        <v>13978</v>
      </c>
      <c r="C44" s="4">
        <v>7771</v>
      </c>
      <c r="D44" s="4">
        <v>11901</v>
      </c>
    </row>
    <row r="45" spans="1:4" x14ac:dyDescent="0.2">
      <c r="A45" s="3" t="s">
        <v>112</v>
      </c>
      <c r="B45" s="4">
        <v>14674</v>
      </c>
      <c r="C45" s="4">
        <v>7631</v>
      </c>
      <c r="D45" s="4">
        <v>12457</v>
      </c>
    </row>
    <row r="46" spans="1:4" x14ac:dyDescent="0.2">
      <c r="A46" s="3" t="s">
        <v>113</v>
      </c>
      <c r="B46" s="4">
        <v>13795</v>
      </c>
      <c r="C46" s="4">
        <v>7550</v>
      </c>
      <c r="D46" s="4">
        <v>12286</v>
      </c>
    </row>
    <row r="47" spans="1:4" x14ac:dyDescent="0.2">
      <c r="A47" s="3">
        <v>2002</v>
      </c>
      <c r="B47" s="4">
        <v>14068</v>
      </c>
      <c r="C47" s="4">
        <v>7869</v>
      </c>
      <c r="D47" s="4">
        <v>12525</v>
      </c>
    </row>
    <row r="48" spans="1:4" x14ac:dyDescent="0.2">
      <c r="A48" s="3" t="s">
        <v>114</v>
      </c>
      <c r="B48" s="4">
        <v>14577</v>
      </c>
      <c r="C48" s="4">
        <v>7990</v>
      </c>
      <c r="D48" s="4">
        <v>13077</v>
      </c>
    </row>
    <row r="49" spans="1:10" x14ac:dyDescent="0.2">
      <c r="A49" s="3" t="s">
        <v>115</v>
      </c>
      <c r="B49" s="4">
        <v>14597</v>
      </c>
      <c r="C49" s="4">
        <v>7956</v>
      </c>
      <c r="D49" s="4">
        <v>13193</v>
      </c>
    </row>
    <row r="50" spans="1:10" x14ac:dyDescent="0.2">
      <c r="A50" s="3" t="s">
        <v>116</v>
      </c>
      <c r="B50" s="4">
        <v>14419</v>
      </c>
      <c r="C50" s="4">
        <v>7794</v>
      </c>
      <c r="D50" s="4">
        <v>13105</v>
      </c>
    </row>
    <row r="51" spans="1:10" x14ac:dyDescent="0.2">
      <c r="A51" s="3">
        <v>2003</v>
      </c>
      <c r="B51" s="4">
        <v>15674</v>
      </c>
      <c r="C51" s="4">
        <v>7886</v>
      </c>
      <c r="D51" s="4">
        <v>13491</v>
      </c>
    </row>
    <row r="52" spans="1:10" x14ac:dyDescent="0.2">
      <c r="A52" s="3" t="s">
        <v>117</v>
      </c>
      <c r="B52" s="4">
        <v>16140</v>
      </c>
      <c r="C52" s="4">
        <v>8320</v>
      </c>
      <c r="D52" s="4">
        <v>13752</v>
      </c>
    </row>
    <row r="53" spans="1:10" x14ac:dyDescent="0.2">
      <c r="A53" s="3" t="s">
        <v>118</v>
      </c>
      <c r="B53" s="4">
        <v>17148</v>
      </c>
      <c r="C53" s="4">
        <v>8367</v>
      </c>
      <c r="D53" s="4">
        <v>14050</v>
      </c>
    </row>
    <row r="54" spans="1:10" x14ac:dyDescent="0.2">
      <c r="A54" s="3" t="s">
        <v>119</v>
      </c>
      <c r="B54" s="4">
        <v>17006</v>
      </c>
      <c r="C54" s="4">
        <v>8312</v>
      </c>
      <c r="D54" s="4">
        <v>14176</v>
      </c>
    </row>
    <row r="55" spans="1:10" x14ac:dyDescent="0.2">
      <c r="A55" s="3">
        <v>2004</v>
      </c>
      <c r="B55" s="4">
        <v>17539</v>
      </c>
      <c r="C55" s="4">
        <v>8637</v>
      </c>
      <c r="D55" s="4">
        <v>14710</v>
      </c>
    </row>
    <row r="56" spans="1:10" x14ac:dyDescent="0.2">
      <c r="A56" s="3" t="s">
        <v>61</v>
      </c>
      <c r="B56" s="4">
        <v>19602</v>
      </c>
      <c r="C56" s="4">
        <v>8911</v>
      </c>
      <c r="D56" s="4">
        <v>15364</v>
      </c>
    </row>
    <row r="57" spans="1:10" x14ac:dyDescent="0.2">
      <c r="A57" s="3" t="s">
        <v>62</v>
      </c>
      <c r="B57" s="4">
        <v>21301</v>
      </c>
      <c r="C57" s="4">
        <v>9142</v>
      </c>
      <c r="D57" s="4">
        <v>16024</v>
      </c>
    </row>
    <row r="58" spans="1:10" x14ac:dyDescent="0.2">
      <c r="A58" s="3" t="s">
        <v>63</v>
      </c>
      <c r="B58" s="4">
        <v>22112</v>
      </c>
      <c r="C58" s="4">
        <v>9354</v>
      </c>
      <c r="D58" s="4">
        <v>16390</v>
      </c>
    </row>
    <row r="59" spans="1:10" x14ac:dyDescent="0.2">
      <c r="A59" s="3">
        <v>2005</v>
      </c>
      <c r="B59" s="4">
        <v>23067</v>
      </c>
      <c r="C59" s="4">
        <v>9760</v>
      </c>
      <c r="D59" s="4">
        <v>17304</v>
      </c>
    </row>
    <row r="60" spans="1:10" x14ac:dyDescent="0.2">
      <c r="A60" s="3" t="s">
        <v>64</v>
      </c>
      <c r="B60" s="4">
        <v>24810</v>
      </c>
      <c r="C60" s="4">
        <v>10369</v>
      </c>
      <c r="D60" s="4">
        <v>18590</v>
      </c>
    </row>
    <row r="61" spans="1:10" x14ac:dyDescent="0.2">
      <c r="A61" s="3" t="s">
        <v>65</v>
      </c>
      <c r="B61" s="4">
        <v>27374</v>
      </c>
      <c r="C61" s="4">
        <v>10922</v>
      </c>
      <c r="D61" s="4">
        <v>20102</v>
      </c>
    </row>
    <row r="62" spans="1:10" ht="21" x14ac:dyDescent="0.25">
      <c r="A62" s="3" t="s">
        <v>66</v>
      </c>
      <c r="B62" s="4">
        <v>27924</v>
      </c>
      <c r="C62" s="4">
        <v>11493</v>
      </c>
      <c r="D62" s="4">
        <v>21269</v>
      </c>
      <c r="J62" s="30" t="s">
        <v>142</v>
      </c>
    </row>
    <row r="63" spans="1:10" x14ac:dyDescent="0.2">
      <c r="A63" s="3">
        <v>2006</v>
      </c>
      <c r="B63" s="4">
        <v>29518</v>
      </c>
      <c r="C63" s="4">
        <v>12261</v>
      </c>
      <c r="D63" s="4">
        <v>22654</v>
      </c>
    </row>
    <row r="64" spans="1:10" x14ac:dyDescent="0.2">
      <c r="A64" s="3" t="s">
        <v>67</v>
      </c>
      <c r="B64" s="4">
        <v>30561</v>
      </c>
      <c r="C64" s="4">
        <v>12997</v>
      </c>
      <c r="D64" s="4">
        <v>23990</v>
      </c>
    </row>
    <row r="65" spans="1:4" x14ac:dyDescent="0.2">
      <c r="A65" s="3" t="s">
        <v>68</v>
      </c>
      <c r="B65" s="4">
        <v>30509</v>
      </c>
      <c r="C65" s="4">
        <v>13331</v>
      </c>
      <c r="D65" s="4">
        <v>23848</v>
      </c>
    </row>
    <row r="66" spans="1:4" x14ac:dyDescent="0.2">
      <c r="A66" s="3" t="s">
        <v>69</v>
      </c>
      <c r="B66" s="4">
        <v>29106</v>
      </c>
      <c r="C66" s="4">
        <v>13408</v>
      </c>
      <c r="D66" s="4">
        <v>22928</v>
      </c>
    </row>
    <row r="67" spans="1:4" x14ac:dyDescent="0.2">
      <c r="A67" s="3">
        <v>2007</v>
      </c>
      <c r="B67" s="4">
        <v>28562</v>
      </c>
      <c r="C67" s="4">
        <v>13480</v>
      </c>
      <c r="D67" s="4">
        <v>22371</v>
      </c>
    </row>
    <row r="68" spans="1:4" x14ac:dyDescent="0.2">
      <c r="A68" s="3" t="s">
        <v>70</v>
      </c>
      <c r="B68" s="4">
        <v>27789</v>
      </c>
      <c r="C68" s="4">
        <v>13716</v>
      </c>
      <c r="D68" s="4">
        <v>22279</v>
      </c>
    </row>
    <row r="69" spans="1:4" x14ac:dyDescent="0.2">
      <c r="A69" s="3" t="s">
        <v>71</v>
      </c>
      <c r="B69" s="4">
        <v>26530</v>
      </c>
      <c r="C69" s="4">
        <v>13578</v>
      </c>
      <c r="D69" s="4">
        <v>21990</v>
      </c>
    </row>
    <row r="70" spans="1:4" x14ac:dyDescent="0.2">
      <c r="A70" s="3" t="s">
        <v>72</v>
      </c>
      <c r="B70" s="4">
        <v>25343</v>
      </c>
      <c r="C70" s="4">
        <v>13503</v>
      </c>
      <c r="D70" s="4">
        <v>21044</v>
      </c>
    </row>
    <row r="71" spans="1:4" x14ac:dyDescent="0.2">
      <c r="A71" s="3">
        <v>2008</v>
      </c>
      <c r="B71" s="4">
        <v>25221</v>
      </c>
      <c r="C71" s="4">
        <v>13391</v>
      </c>
      <c r="D71" s="4">
        <v>20633</v>
      </c>
    </row>
    <row r="72" spans="1:4" x14ac:dyDescent="0.2">
      <c r="A72" s="3" t="s">
        <v>2</v>
      </c>
      <c r="B72" s="4">
        <v>25546</v>
      </c>
      <c r="C72" s="4">
        <v>13435</v>
      </c>
      <c r="D72" s="4">
        <v>20364</v>
      </c>
    </row>
    <row r="73" spans="1:4" x14ac:dyDescent="0.2">
      <c r="A73" s="3" t="s">
        <v>3</v>
      </c>
      <c r="B73" s="4">
        <v>24585</v>
      </c>
      <c r="C73" s="4">
        <v>12967</v>
      </c>
      <c r="D73" s="4">
        <v>19547</v>
      </c>
    </row>
    <row r="74" spans="1:4" x14ac:dyDescent="0.2">
      <c r="A74" s="3" t="s">
        <v>4</v>
      </c>
      <c r="B74" s="4">
        <v>22132</v>
      </c>
      <c r="C74" s="4">
        <v>12198</v>
      </c>
      <c r="D74" s="4">
        <v>18093</v>
      </c>
    </row>
    <row r="75" spans="1:4" x14ac:dyDescent="0.2">
      <c r="A75" s="3">
        <v>2009</v>
      </c>
      <c r="B75" s="4">
        <v>21935</v>
      </c>
      <c r="C75" s="4">
        <v>11504</v>
      </c>
      <c r="D75" s="4">
        <v>16799</v>
      </c>
    </row>
    <row r="76" spans="1:4" x14ac:dyDescent="0.2">
      <c r="A76" s="3" t="s">
        <v>6</v>
      </c>
      <c r="B76" s="4">
        <v>23010</v>
      </c>
      <c r="C76" s="4">
        <v>11690</v>
      </c>
      <c r="D76" s="4">
        <v>17240</v>
      </c>
    </row>
    <row r="77" spans="1:4" x14ac:dyDescent="0.2">
      <c r="A77" s="3" t="s">
        <v>7</v>
      </c>
      <c r="B77" s="4">
        <v>23440</v>
      </c>
      <c r="C77" s="4">
        <v>11618</v>
      </c>
      <c r="D77" s="4">
        <v>17375</v>
      </c>
    </row>
    <row r="78" spans="1:4" x14ac:dyDescent="0.2">
      <c r="A78" s="3" t="s">
        <v>8</v>
      </c>
      <c r="B78" s="4">
        <v>24221</v>
      </c>
      <c r="C78" s="4">
        <v>11736</v>
      </c>
      <c r="D78" s="4">
        <v>17815</v>
      </c>
    </row>
    <row r="79" spans="1:4" x14ac:dyDescent="0.2">
      <c r="A79" s="3">
        <v>2010</v>
      </c>
      <c r="B79" s="4">
        <v>25202</v>
      </c>
      <c r="C79" s="4">
        <v>11824</v>
      </c>
      <c r="D79" s="4">
        <v>17970</v>
      </c>
    </row>
    <row r="80" spans="1:4" x14ac:dyDescent="0.2">
      <c r="A80" s="3" t="s">
        <v>10</v>
      </c>
      <c r="B80" s="4">
        <v>25322</v>
      </c>
      <c r="C80" s="4">
        <v>12102</v>
      </c>
      <c r="D80" s="4">
        <v>18593</v>
      </c>
    </row>
    <row r="81" spans="1:4" x14ac:dyDescent="0.2">
      <c r="A81" s="3" t="s">
        <v>11</v>
      </c>
      <c r="B81" s="4">
        <v>25267</v>
      </c>
      <c r="C81" s="4">
        <v>12000</v>
      </c>
      <c r="D81" s="4">
        <v>18515</v>
      </c>
    </row>
    <row r="82" spans="1:4" x14ac:dyDescent="0.2">
      <c r="A82" s="3" t="s">
        <v>12</v>
      </c>
      <c r="B82" s="4">
        <v>25576</v>
      </c>
      <c r="C82" s="4">
        <v>11930</v>
      </c>
      <c r="D82" s="4">
        <v>18463</v>
      </c>
    </row>
    <row r="83" spans="1:4" x14ac:dyDescent="0.2">
      <c r="A83" s="3">
        <v>2011</v>
      </c>
      <c r="B83" s="4">
        <v>26148</v>
      </c>
      <c r="C83" s="4">
        <v>11824</v>
      </c>
      <c r="D83" s="4">
        <v>18577</v>
      </c>
    </row>
    <row r="84" spans="1:4" x14ac:dyDescent="0.2">
      <c r="A84" s="3" t="s">
        <v>14</v>
      </c>
      <c r="B84" s="4">
        <v>26679</v>
      </c>
      <c r="C84" s="4">
        <v>11812</v>
      </c>
      <c r="D84" s="4">
        <v>18522</v>
      </c>
    </row>
    <row r="85" spans="1:4" x14ac:dyDescent="0.2">
      <c r="A85" s="3" t="s">
        <v>15</v>
      </c>
      <c r="B85" s="4">
        <v>25338</v>
      </c>
      <c r="C85" s="4">
        <v>11339</v>
      </c>
      <c r="D85" s="4">
        <v>17655</v>
      </c>
    </row>
    <row r="86" spans="1:4" x14ac:dyDescent="0.2">
      <c r="A86" s="3" t="s">
        <v>16</v>
      </c>
      <c r="B86" s="4">
        <v>24881</v>
      </c>
      <c r="C86" s="4">
        <v>11145</v>
      </c>
      <c r="D86" s="4">
        <v>17441</v>
      </c>
    </row>
    <row r="87" spans="1:4" x14ac:dyDescent="0.2">
      <c r="A87" s="3">
        <v>2012</v>
      </c>
      <c r="B87" s="4">
        <v>24593</v>
      </c>
      <c r="C87" s="4">
        <v>10972</v>
      </c>
      <c r="D87" s="4">
        <v>17461</v>
      </c>
    </row>
    <row r="88" spans="1:4" x14ac:dyDescent="0.2">
      <c r="A88" s="3" t="s">
        <v>18</v>
      </c>
      <c r="B88" s="4">
        <v>24861</v>
      </c>
      <c r="C88" s="4">
        <v>11072</v>
      </c>
      <c r="D88" s="4">
        <v>17625</v>
      </c>
    </row>
    <row r="89" spans="1:4" x14ac:dyDescent="0.2">
      <c r="A89" s="3" t="s">
        <v>19</v>
      </c>
      <c r="B89" s="4">
        <v>25372</v>
      </c>
      <c r="C89" s="4">
        <v>11084</v>
      </c>
      <c r="D89" s="4">
        <v>17708</v>
      </c>
    </row>
    <row r="90" spans="1:4" x14ac:dyDescent="0.2">
      <c r="A90" s="3" t="s">
        <v>20</v>
      </c>
      <c r="B90" s="4">
        <v>25534</v>
      </c>
      <c r="C90" s="4">
        <v>10931</v>
      </c>
      <c r="D90" s="4">
        <v>18171</v>
      </c>
    </row>
    <row r="91" spans="1:4" x14ac:dyDescent="0.2">
      <c r="A91" s="3">
        <v>2013</v>
      </c>
      <c r="B91" s="4">
        <v>26637</v>
      </c>
      <c r="C91" s="4">
        <v>11041</v>
      </c>
      <c r="D91" s="4">
        <v>18429</v>
      </c>
    </row>
    <row r="92" spans="1:4" x14ac:dyDescent="0.2">
      <c r="A92" s="3" t="s">
        <v>22</v>
      </c>
      <c r="B92" s="4">
        <v>27035</v>
      </c>
      <c r="C92" s="4">
        <v>11167</v>
      </c>
      <c r="D92" s="4">
        <v>19133</v>
      </c>
    </row>
    <row r="93" spans="1:4" x14ac:dyDescent="0.2">
      <c r="A93" s="3" t="s">
        <v>23</v>
      </c>
      <c r="B93" s="4">
        <v>27657</v>
      </c>
      <c r="C93" s="4">
        <v>11128</v>
      </c>
      <c r="D93" s="4">
        <v>19480</v>
      </c>
    </row>
    <row r="94" spans="1:4" x14ac:dyDescent="0.2">
      <c r="A94" s="3" t="s">
        <v>24</v>
      </c>
      <c r="B94" s="4">
        <v>26789</v>
      </c>
      <c r="C94" s="4">
        <v>11082</v>
      </c>
      <c r="D94" s="4">
        <v>19441</v>
      </c>
    </row>
    <row r="95" spans="1:4" x14ac:dyDescent="0.2">
      <c r="A95" s="3">
        <v>2014</v>
      </c>
      <c r="B95" s="4">
        <v>27223</v>
      </c>
      <c r="C95" s="4">
        <v>11100</v>
      </c>
      <c r="D95" s="4">
        <v>19439</v>
      </c>
    </row>
    <row r="96" spans="1:4" x14ac:dyDescent="0.2">
      <c r="A96" s="3" t="s">
        <v>26</v>
      </c>
      <c r="B96" s="4">
        <v>28561</v>
      </c>
      <c r="C96" s="4">
        <v>11406</v>
      </c>
      <c r="D96" s="4">
        <v>20291</v>
      </c>
    </row>
    <row r="97" spans="1:4" x14ac:dyDescent="0.2">
      <c r="A97" s="3" t="s">
        <v>27</v>
      </c>
      <c r="B97" s="4">
        <v>28807</v>
      </c>
      <c r="C97" s="4">
        <v>11315</v>
      </c>
      <c r="D97" s="4">
        <v>20312</v>
      </c>
    </row>
    <row r="98" spans="1:4" x14ac:dyDescent="0.2">
      <c r="A98" s="3" t="s">
        <v>28</v>
      </c>
      <c r="B98" s="4">
        <v>28242</v>
      </c>
      <c r="C98" s="4">
        <v>11285</v>
      </c>
      <c r="D98" s="4">
        <v>20470</v>
      </c>
    </row>
    <row r="99" spans="1:4" x14ac:dyDescent="0.2">
      <c r="A99" s="3">
        <v>2015</v>
      </c>
      <c r="B99" s="4">
        <v>29323</v>
      </c>
      <c r="C99" s="4">
        <v>11764</v>
      </c>
      <c r="D99" s="4">
        <v>21261</v>
      </c>
    </row>
    <row r="100" spans="1:4" x14ac:dyDescent="0.2">
      <c r="A100" s="3" t="s">
        <v>30</v>
      </c>
      <c r="B100" s="4">
        <v>30851</v>
      </c>
      <c r="C100" s="4">
        <v>12192</v>
      </c>
      <c r="D100" s="4">
        <v>22467</v>
      </c>
    </row>
    <row r="101" spans="1:4" x14ac:dyDescent="0.2">
      <c r="A101" s="3" t="s">
        <v>31</v>
      </c>
      <c r="B101" s="4">
        <v>31410</v>
      </c>
      <c r="C101" s="4">
        <v>12124</v>
      </c>
      <c r="D101" s="4">
        <v>22632</v>
      </c>
    </row>
    <row r="102" spans="1:4" x14ac:dyDescent="0.2">
      <c r="A102" s="3" t="s">
        <v>32</v>
      </c>
      <c r="B102" s="4">
        <v>31354</v>
      </c>
      <c r="C102" s="4">
        <v>12026</v>
      </c>
      <c r="D102" s="4">
        <v>22719</v>
      </c>
    </row>
    <row r="103" spans="1:4" x14ac:dyDescent="0.2">
      <c r="A103" s="3">
        <v>2016</v>
      </c>
      <c r="B103" s="4">
        <v>32792</v>
      </c>
      <c r="C103" s="4">
        <v>12166</v>
      </c>
      <c r="D103" s="4">
        <v>23270</v>
      </c>
    </row>
    <row r="104" spans="1:4" x14ac:dyDescent="0.2">
      <c r="A104" s="3" t="s">
        <v>34</v>
      </c>
      <c r="B104" s="4">
        <v>33697</v>
      </c>
      <c r="C104" s="4">
        <v>12528</v>
      </c>
      <c r="D104" s="4">
        <v>24218</v>
      </c>
    </row>
    <row r="105" spans="1:4" x14ac:dyDescent="0.2">
      <c r="A105" s="3" t="s">
        <v>35</v>
      </c>
      <c r="B105" s="4">
        <v>33303</v>
      </c>
      <c r="C105" s="4">
        <v>12670</v>
      </c>
      <c r="D105" s="4">
        <v>24338</v>
      </c>
    </row>
    <row r="106" spans="1:4" x14ac:dyDescent="0.2">
      <c r="A106" s="3" t="s">
        <v>36</v>
      </c>
      <c r="B106" s="4">
        <v>33262</v>
      </c>
      <c r="C106" s="4">
        <v>12529</v>
      </c>
      <c r="D106" s="4">
        <v>24535</v>
      </c>
    </row>
    <row r="107" spans="1:4" x14ac:dyDescent="0.2">
      <c r="A107" s="3">
        <v>2017</v>
      </c>
      <c r="B107" s="4">
        <v>34555</v>
      </c>
      <c r="C107" s="4">
        <v>12647</v>
      </c>
      <c r="D107" s="4">
        <v>25146</v>
      </c>
    </row>
    <row r="108" spans="1:4" x14ac:dyDescent="0.2">
      <c r="A108" s="3" t="s">
        <v>38</v>
      </c>
      <c r="B108" s="4">
        <v>34591</v>
      </c>
      <c r="C108" s="4">
        <v>13152</v>
      </c>
      <c r="D108" s="4">
        <v>25973</v>
      </c>
    </row>
    <row r="109" spans="1:4" x14ac:dyDescent="0.2">
      <c r="A109" s="3" t="s">
        <v>39</v>
      </c>
      <c r="B109" s="4">
        <v>35046</v>
      </c>
      <c r="C109" s="4">
        <v>13160</v>
      </c>
      <c r="D109" s="4">
        <v>26720</v>
      </c>
    </row>
    <row r="110" spans="1:4" x14ac:dyDescent="0.2">
      <c r="A110" s="3" t="s">
        <v>40</v>
      </c>
      <c r="B110" s="4">
        <v>34909</v>
      </c>
      <c r="C110" s="4">
        <v>13179</v>
      </c>
      <c r="D110" s="4">
        <v>26627</v>
      </c>
    </row>
    <row r="111" spans="1:4" x14ac:dyDescent="0.2">
      <c r="A111" s="3">
        <v>2018</v>
      </c>
      <c r="B111" s="4">
        <v>36300</v>
      </c>
      <c r="C111" s="4">
        <v>13407</v>
      </c>
      <c r="D111" s="4">
        <v>27416</v>
      </c>
    </row>
    <row r="112" spans="1:4" x14ac:dyDescent="0.2">
      <c r="A112" s="3" t="s">
        <v>42</v>
      </c>
      <c r="B112" s="4">
        <v>35876</v>
      </c>
      <c r="C112" s="4">
        <v>13628</v>
      </c>
      <c r="D112" s="4">
        <v>27950</v>
      </c>
    </row>
    <row r="113" spans="1:4" x14ac:dyDescent="0.2">
      <c r="A113" s="3" t="s">
        <v>43</v>
      </c>
      <c r="B113" s="4">
        <v>36630</v>
      </c>
      <c r="C113" s="4">
        <v>13697</v>
      </c>
      <c r="D113" s="4">
        <v>27710</v>
      </c>
    </row>
    <row r="114" spans="1:4" x14ac:dyDescent="0.2">
      <c r="A114" s="3" t="s">
        <v>44</v>
      </c>
      <c r="B114" s="4">
        <v>35165</v>
      </c>
      <c r="C114" s="4">
        <v>13638</v>
      </c>
      <c r="D114" s="4">
        <v>27291</v>
      </c>
    </row>
    <row r="115" spans="1:4" x14ac:dyDescent="0.2">
      <c r="A115" s="3">
        <v>2019</v>
      </c>
      <c r="B115" s="4">
        <v>35695</v>
      </c>
      <c r="C115" s="4">
        <v>13618</v>
      </c>
      <c r="D115" s="4">
        <v>27544</v>
      </c>
    </row>
    <row r="116" spans="1:4" x14ac:dyDescent="0.2">
      <c r="A116" s="3" t="s">
        <v>46</v>
      </c>
      <c r="B116" s="4">
        <v>36348</v>
      </c>
      <c r="C116" s="4">
        <v>14002</v>
      </c>
      <c r="D116" s="4">
        <v>27943</v>
      </c>
    </row>
    <row r="117" spans="1:4" x14ac:dyDescent="0.2">
      <c r="A117" s="3" t="s">
        <v>47</v>
      </c>
      <c r="B117" s="4">
        <v>35561</v>
      </c>
      <c r="C117" s="4">
        <v>14145</v>
      </c>
      <c r="D117" s="4">
        <v>28099</v>
      </c>
    </row>
    <row r="118" spans="1:4" x14ac:dyDescent="0.2">
      <c r="A118" s="3" t="s">
        <v>48</v>
      </c>
      <c r="B118" s="4">
        <v>36203</v>
      </c>
      <c r="C118" s="4">
        <v>14176</v>
      </c>
      <c r="D118" s="4">
        <v>28256</v>
      </c>
    </row>
    <row r="119" spans="1:4" x14ac:dyDescent="0.2">
      <c r="A119" s="3">
        <v>2020</v>
      </c>
      <c r="B119" s="4">
        <v>36927</v>
      </c>
      <c r="C119" s="4">
        <v>14119</v>
      </c>
      <c r="D119" s="4">
        <v>28680</v>
      </c>
    </row>
    <row r="120" spans="1:4" x14ac:dyDescent="0.2">
      <c r="A120" s="3" t="s">
        <v>50</v>
      </c>
      <c r="B120" s="4">
        <v>36710</v>
      </c>
      <c r="C120" s="4">
        <v>14332</v>
      </c>
      <c r="D120" s="4">
        <v>28934</v>
      </c>
    </row>
    <row r="121" spans="1:4" x14ac:dyDescent="0.2">
      <c r="A121" s="3" t="s">
        <v>51</v>
      </c>
      <c r="B121" s="4">
        <v>38773</v>
      </c>
      <c r="C121" s="4">
        <v>14715</v>
      </c>
      <c r="D121" s="4">
        <v>29754</v>
      </c>
    </row>
    <row r="123" spans="1:4" x14ac:dyDescent="0.2">
      <c r="A123" s="20" t="s">
        <v>120</v>
      </c>
      <c r="B123" s="17">
        <f>(B121-B7)/B7</f>
        <v>4.2121252856566747</v>
      </c>
      <c r="C123" s="17">
        <f>(C121-C7)/C7</f>
        <v>2.6595374285003732</v>
      </c>
      <c r="D123" s="17">
        <f>(D121-D7)/D7</f>
        <v>4.1123711340206182</v>
      </c>
    </row>
    <row r="124" spans="1:4" x14ac:dyDescent="0.2">
      <c r="A124" s="3" t="s">
        <v>121</v>
      </c>
      <c r="B124" s="21">
        <f>(B121-B111)/B111</f>
        <v>6.8126721763085402E-2</v>
      </c>
      <c r="C124" s="21">
        <f>(C121-C111)/C111</f>
        <v>9.7560975609756101E-2</v>
      </c>
      <c r="D124" s="21">
        <f>(D121-D111)/D111</f>
        <v>8.5278669390137146E-2</v>
      </c>
    </row>
  </sheetData>
  <pageMargins left="0.75" right="0.75" top="0.75" bottom="0.5" header="0.5" footer="0.7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02F5-95A6-7A4D-A3CC-7179C961C1AB}">
  <dimension ref="A1:F129"/>
  <sheetViews>
    <sheetView topLeftCell="A32" zoomScale="42" zoomScaleNormal="100" workbookViewId="0">
      <selection activeCell="J126" sqref="J126"/>
    </sheetView>
  </sheetViews>
  <sheetFormatPr baseColWidth="10" defaultRowHeight="15" x14ac:dyDescent="0.2"/>
  <cols>
    <col min="2" max="2" width="14.6640625" customWidth="1"/>
    <col min="3" max="3" width="11" customWidth="1"/>
    <col min="4" max="4" width="8.6640625" customWidth="1"/>
    <col min="5" max="5" width="12.5" customWidth="1"/>
  </cols>
  <sheetData>
    <row r="1" spans="1:6" x14ac:dyDescent="0.2">
      <c r="B1" s="34" t="s">
        <v>143</v>
      </c>
      <c r="C1" s="34"/>
      <c r="D1" s="34"/>
      <c r="E1" s="31"/>
      <c r="F1" s="32" t="s">
        <v>60</v>
      </c>
    </row>
    <row r="2" spans="1:6" x14ac:dyDescent="0.2">
      <c r="A2" s="10"/>
      <c r="B2" s="3" t="s">
        <v>145</v>
      </c>
      <c r="C2" s="3" t="s">
        <v>146</v>
      </c>
      <c r="D2" s="3" t="s">
        <v>147</v>
      </c>
      <c r="E2" s="1" t="s">
        <v>148</v>
      </c>
      <c r="F2" s="1" t="s">
        <v>144</v>
      </c>
    </row>
    <row r="3" spans="1:6" x14ac:dyDescent="0.2">
      <c r="A3" s="3">
        <v>1992</v>
      </c>
      <c r="B3" s="4">
        <v>4021</v>
      </c>
      <c r="C3" s="4">
        <v>5820</v>
      </c>
      <c r="D3" s="4">
        <v>4441</v>
      </c>
      <c r="E3">
        <f>AVERAGE(B3:D3)</f>
        <v>4760.666666666667</v>
      </c>
      <c r="F3" s="4">
        <v>7439</v>
      </c>
    </row>
    <row r="4" spans="1:6" x14ac:dyDescent="0.2">
      <c r="A4" s="3" t="s">
        <v>84</v>
      </c>
      <c r="B4" s="4">
        <v>4129</v>
      </c>
      <c r="C4" s="4">
        <v>5850</v>
      </c>
      <c r="D4" s="4">
        <v>4454</v>
      </c>
      <c r="E4">
        <f t="shared" ref="E4:E67" si="0">AVERAGE(B4:D4)</f>
        <v>4811</v>
      </c>
      <c r="F4" s="4">
        <v>7347</v>
      </c>
    </row>
    <row r="5" spans="1:6" x14ac:dyDescent="0.2">
      <c r="A5" s="3" t="s">
        <v>85</v>
      </c>
      <c r="B5" s="4">
        <v>4000</v>
      </c>
      <c r="C5" s="4">
        <v>5737</v>
      </c>
      <c r="D5" s="4">
        <v>4250</v>
      </c>
      <c r="E5">
        <f t="shared" si="0"/>
        <v>4662.333333333333</v>
      </c>
      <c r="F5" s="4">
        <v>7597</v>
      </c>
    </row>
    <row r="6" spans="1:6" x14ac:dyDescent="0.2">
      <c r="A6" s="3" t="s">
        <v>86</v>
      </c>
      <c r="B6" s="4">
        <v>3945</v>
      </c>
      <c r="C6" s="4">
        <v>5443</v>
      </c>
      <c r="D6" s="4">
        <v>4419</v>
      </c>
      <c r="E6">
        <f t="shared" si="0"/>
        <v>4602.333333333333</v>
      </c>
      <c r="F6" s="4">
        <v>7151</v>
      </c>
    </row>
    <row r="7" spans="1:6" x14ac:dyDescent="0.2">
      <c r="A7" s="3">
        <v>1993</v>
      </c>
      <c r="B7" s="4">
        <v>3851</v>
      </c>
      <c r="C7" s="4">
        <v>5304</v>
      </c>
      <c r="D7" s="4">
        <v>4431</v>
      </c>
      <c r="E7">
        <f t="shared" si="0"/>
        <v>4528.666666666667</v>
      </c>
      <c r="F7" s="4">
        <v>6413</v>
      </c>
    </row>
    <row r="8" spans="1:6" x14ac:dyDescent="0.2">
      <c r="A8" s="3" t="s">
        <v>87</v>
      </c>
      <c r="B8" s="4">
        <v>4135</v>
      </c>
      <c r="C8" s="4">
        <v>5452</v>
      </c>
      <c r="D8" s="4">
        <v>4494</v>
      </c>
      <c r="E8">
        <f t="shared" si="0"/>
        <v>4693.666666666667</v>
      </c>
      <c r="F8" s="4">
        <v>7076</v>
      </c>
    </row>
    <row r="9" spans="1:6" x14ac:dyDescent="0.2">
      <c r="A9" s="3" t="s">
        <v>88</v>
      </c>
      <c r="B9" s="4">
        <v>4296</v>
      </c>
      <c r="C9" s="4">
        <v>5801</v>
      </c>
      <c r="D9" s="4">
        <v>4436</v>
      </c>
      <c r="E9">
        <f t="shared" si="0"/>
        <v>4844.333333333333</v>
      </c>
      <c r="F9" s="4">
        <v>7544</v>
      </c>
    </row>
    <row r="10" spans="1:6" x14ac:dyDescent="0.2">
      <c r="A10" s="3" t="s">
        <v>89</v>
      </c>
      <c r="B10" s="4">
        <v>4301</v>
      </c>
      <c r="C10" s="4">
        <v>5609</v>
      </c>
      <c r="D10" s="4">
        <v>4675</v>
      </c>
      <c r="E10">
        <f t="shared" si="0"/>
        <v>4861.666666666667</v>
      </c>
      <c r="F10" s="4">
        <v>7326</v>
      </c>
    </row>
    <row r="11" spans="1:6" x14ac:dyDescent="0.2">
      <c r="A11" s="3">
        <v>1994</v>
      </c>
      <c r="B11" s="4">
        <v>4333</v>
      </c>
      <c r="C11" s="4">
        <v>5776</v>
      </c>
      <c r="D11" s="4">
        <v>4733</v>
      </c>
      <c r="E11">
        <f t="shared" si="0"/>
        <v>4947.333333333333</v>
      </c>
      <c r="F11" s="4">
        <v>7690</v>
      </c>
    </row>
    <row r="12" spans="1:6" x14ac:dyDescent="0.2">
      <c r="A12" s="3" t="s">
        <v>90</v>
      </c>
      <c r="B12" s="4">
        <v>4432</v>
      </c>
      <c r="C12" s="4">
        <v>5784</v>
      </c>
      <c r="D12" s="4">
        <v>4717</v>
      </c>
      <c r="E12">
        <f t="shared" si="0"/>
        <v>4977.666666666667</v>
      </c>
      <c r="F12" s="4">
        <v>7430</v>
      </c>
    </row>
    <row r="13" spans="1:6" x14ac:dyDescent="0.2">
      <c r="A13" s="3" t="s">
        <v>91</v>
      </c>
      <c r="B13" s="4">
        <v>4443</v>
      </c>
      <c r="C13" s="4">
        <v>5748</v>
      </c>
      <c r="D13" s="4">
        <v>4571</v>
      </c>
      <c r="E13">
        <f t="shared" si="0"/>
        <v>4920.666666666667</v>
      </c>
      <c r="F13" s="4">
        <v>7680</v>
      </c>
    </row>
    <row r="14" spans="1:6" x14ac:dyDescent="0.2">
      <c r="A14" s="3" t="s">
        <v>92</v>
      </c>
      <c r="B14" s="4">
        <v>4403</v>
      </c>
      <c r="C14" s="4">
        <v>5672</v>
      </c>
      <c r="D14" s="4">
        <v>4692</v>
      </c>
      <c r="E14">
        <f t="shared" si="0"/>
        <v>4922.333333333333</v>
      </c>
      <c r="F14" s="4">
        <v>7519</v>
      </c>
    </row>
    <row r="15" spans="1:6" x14ac:dyDescent="0.2">
      <c r="A15" s="3">
        <v>1995</v>
      </c>
      <c r="B15" s="4">
        <v>4450</v>
      </c>
      <c r="C15" s="4">
        <v>5663</v>
      </c>
      <c r="D15" s="4">
        <v>4719</v>
      </c>
      <c r="E15">
        <f t="shared" si="0"/>
        <v>4944</v>
      </c>
      <c r="F15" s="4">
        <v>7377</v>
      </c>
    </row>
    <row r="16" spans="1:6" x14ac:dyDescent="0.2">
      <c r="A16" s="3" t="s">
        <v>93</v>
      </c>
      <c r="B16" s="4">
        <v>4593</v>
      </c>
      <c r="C16" s="4">
        <v>5834</v>
      </c>
      <c r="D16" s="4">
        <v>4895</v>
      </c>
      <c r="E16">
        <f t="shared" si="0"/>
        <v>5107.333333333333</v>
      </c>
      <c r="F16" s="4">
        <v>8073</v>
      </c>
    </row>
    <row r="17" spans="1:6" x14ac:dyDescent="0.2">
      <c r="A17" s="3" t="s">
        <v>94</v>
      </c>
      <c r="B17" s="4">
        <v>4635</v>
      </c>
      <c r="C17" s="4">
        <v>6032</v>
      </c>
      <c r="D17" s="4">
        <v>4735</v>
      </c>
      <c r="E17">
        <f t="shared" si="0"/>
        <v>5134</v>
      </c>
      <c r="F17" s="4">
        <v>8453</v>
      </c>
    </row>
    <row r="18" spans="1:6" x14ac:dyDescent="0.2">
      <c r="A18" s="3" t="s">
        <v>95</v>
      </c>
      <c r="B18" s="4">
        <v>4840</v>
      </c>
      <c r="C18" s="4">
        <v>6067</v>
      </c>
      <c r="D18" s="4">
        <v>5005</v>
      </c>
      <c r="E18">
        <f t="shared" si="0"/>
        <v>5304</v>
      </c>
      <c r="F18" s="4">
        <v>8406</v>
      </c>
    </row>
    <row r="19" spans="1:6" x14ac:dyDescent="0.2">
      <c r="A19" s="3">
        <v>1996</v>
      </c>
      <c r="B19" s="4">
        <v>4946</v>
      </c>
      <c r="C19" s="4">
        <v>6191</v>
      </c>
      <c r="D19" s="4">
        <v>5257</v>
      </c>
      <c r="E19">
        <f t="shared" si="0"/>
        <v>5464.666666666667</v>
      </c>
      <c r="F19" s="4">
        <v>8620</v>
      </c>
    </row>
    <row r="20" spans="1:6" x14ac:dyDescent="0.2">
      <c r="A20" s="3" t="s">
        <v>96</v>
      </c>
      <c r="B20" s="4">
        <v>5151</v>
      </c>
      <c r="C20" s="4">
        <v>6609</v>
      </c>
      <c r="D20" s="4">
        <v>5308</v>
      </c>
      <c r="E20">
        <f t="shared" si="0"/>
        <v>5689.333333333333</v>
      </c>
      <c r="F20" s="4">
        <v>9303</v>
      </c>
    </row>
    <row r="21" spans="1:6" x14ac:dyDescent="0.2">
      <c r="A21" s="3" t="s">
        <v>97</v>
      </c>
      <c r="B21" s="4">
        <v>5229</v>
      </c>
      <c r="C21" s="4">
        <v>6621</v>
      </c>
      <c r="D21" s="4">
        <v>5098</v>
      </c>
      <c r="E21">
        <f t="shared" si="0"/>
        <v>5649.333333333333</v>
      </c>
      <c r="F21" s="4">
        <v>9726</v>
      </c>
    </row>
    <row r="22" spans="1:6" x14ac:dyDescent="0.2">
      <c r="A22" s="3" t="s">
        <v>98</v>
      </c>
      <c r="B22" s="4">
        <v>5344</v>
      </c>
      <c r="C22" s="4">
        <v>6631</v>
      </c>
      <c r="D22" s="4">
        <v>5323</v>
      </c>
      <c r="E22">
        <f t="shared" si="0"/>
        <v>5766</v>
      </c>
      <c r="F22" s="4">
        <v>9648</v>
      </c>
    </row>
    <row r="23" spans="1:6" x14ac:dyDescent="0.2">
      <c r="A23" s="3">
        <v>1997</v>
      </c>
      <c r="B23" s="4">
        <v>5567</v>
      </c>
      <c r="C23" s="4">
        <v>6907</v>
      </c>
      <c r="D23" s="4">
        <v>5671</v>
      </c>
      <c r="E23">
        <f t="shared" si="0"/>
        <v>6048.333333333333</v>
      </c>
      <c r="F23" s="4">
        <v>10447</v>
      </c>
    </row>
    <row r="24" spans="1:6" x14ac:dyDescent="0.2">
      <c r="A24" s="3" t="s">
        <v>99</v>
      </c>
      <c r="B24" s="4">
        <v>5733</v>
      </c>
      <c r="C24" s="4">
        <v>7237</v>
      </c>
      <c r="D24" s="4">
        <v>5660</v>
      </c>
      <c r="E24">
        <f t="shared" si="0"/>
        <v>6210</v>
      </c>
      <c r="F24" s="4">
        <v>10324</v>
      </c>
    </row>
    <row r="25" spans="1:6" x14ac:dyDescent="0.2">
      <c r="A25" s="3" t="s">
        <v>100</v>
      </c>
      <c r="B25" s="4">
        <v>5806</v>
      </c>
      <c r="C25" s="4">
        <v>7464</v>
      </c>
      <c r="D25" s="4">
        <v>5693</v>
      </c>
      <c r="E25">
        <f t="shared" si="0"/>
        <v>6321</v>
      </c>
      <c r="F25" s="4">
        <v>10941</v>
      </c>
    </row>
    <row r="26" spans="1:6" x14ac:dyDescent="0.2">
      <c r="A26" s="3" t="s">
        <v>101</v>
      </c>
      <c r="B26" s="4">
        <v>5870</v>
      </c>
      <c r="C26" s="4">
        <v>7648</v>
      </c>
      <c r="D26" s="4">
        <v>5858</v>
      </c>
      <c r="E26">
        <f t="shared" si="0"/>
        <v>6458.666666666667</v>
      </c>
      <c r="F26" s="4">
        <v>10619</v>
      </c>
    </row>
    <row r="27" spans="1:6" x14ac:dyDescent="0.2">
      <c r="A27" s="3">
        <v>1998</v>
      </c>
      <c r="B27" s="4">
        <v>6111</v>
      </c>
      <c r="C27" s="4">
        <v>7956</v>
      </c>
      <c r="D27" s="4">
        <v>6206</v>
      </c>
      <c r="E27">
        <f t="shared" si="0"/>
        <v>6757.666666666667</v>
      </c>
      <c r="F27" s="4">
        <v>11170</v>
      </c>
    </row>
    <row r="28" spans="1:6" x14ac:dyDescent="0.2">
      <c r="A28" s="3" t="s">
        <v>102</v>
      </c>
      <c r="B28" s="4">
        <v>6313</v>
      </c>
      <c r="C28" s="4">
        <v>8337</v>
      </c>
      <c r="D28" s="4">
        <v>6180</v>
      </c>
      <c r="E28">
        <f t="shared" si="0"/>
        <v>6943.333333333333</v>
      </c>
      <c r="F28" s="4">
        <v>11693</v>
      </c>
    </row>
    <row r="29" spans="1:6" x14ac:dyDescent="0.2">
      <c r="A29" s="3" t="s">
        <v>103</v>
      </c>
      <c r="B29" s="4">
        <v>6233</v>
      </c>
      <c r="C29" s="4">
        <v>8627</v>
      </c>
      <c r="D29" s="4">
        <v>6290</v>
      </c>
      <c r="E29">
        <f t="shared" si="0"/>
        <v>7050</v>
      </c>
      <c r="F29" s="4">
        <v>12575</v>
      </c>
    </row>
    <row r="30" spans="1:6" x14ac:dyDescent="0.2">
      <c r="A30" s="3" t="s">
        <v>104</v>
      </c>
      <c r="B30" s="4">
        <v>6344</v>
      </c>
      <c r="C30" s="4">
        <v>8773</v>
      </c>
      <c r="D30" s="4">
        <v>6673</v>
      </c>
      <c r="E30">
        <f t="shared" si="0"/>
        <v>7263.333333333333</v>
      </c>
      <c r="F30" s="4">
        <v>11919</v>
      </c>
    </row>
    <row r="31" spans="1:6" x14ac:dyDescent="0.2">
      <c r="A31" s="3">
        <v>1999</v>
      </c>
      <c r="B31" s="4">
        <v>6616</v>
      </c>
      <c r="C31" s="4">
        <v>9261</v>
      </c>
      <c r="D31" s="4">
        <v>6817</v>
      </c>
      <c r="E31">
        <f t="shared" si="0"/>
        <v>7564.666666666667</v>
      </c>
      <c r="F31" s="4">
        <v>12018</v>
      </c>
    </row>
    <row r="32" spans="1:6" x14ac:dyDescent="0.2">
      <c r="A32" s="3" t="s">
        <v>105</v>
      </c>
      <c r="B32" s="4">
        <v>6907</v>
      </c>
      <c r="C32" s="4">
        <v>9679</v>
      </c>
      <c r="D32" s="4">
        <v>7031</v>
      </c>
      <c r="E32">
        <f t="shared" si="0"/>
        <v>7872.333333333333</v>
      </c>
      <c r="F32" s="4">
        <v>12803</v>
      </c>
    </row>
    <row r="33" spans="1:6" x14ac:dyDescent="0.2">
      <c r="A33" s="3" t="s">
        <v>106</v>
      </c>
      <c r="B33" s="4">
        <v>6825</v>
      </c>
      <c r="C33" s="4">
        <v>9952</v>
      </c>
      <c r="D33" s="4">
        <v>7041</v>
      </c>
      <c r="E33">
        <f t="shared" si="0"/>
        <v>7939.333333333333</v>
      </c>
      <c r="F33" s="4">
        <v>12842</v>
      </c>
    </row>
    <row r="34" spans="1:6" x14ac:dyDescent="0.2">
      <c r="A34" s="3" t="s">
        <v>107</v>
      </c>
      <c r="B34" s="4">
        <v>6846</v>
      </c>
      <c r="C34" s="4">
        <v>9958</v>
      </c>
      <c r="D34" s="4">
        <v>6840</v>
      </c>
      <c r="E34">
        <f t="shared" si="0"/>
        <v>7881.333333333333</v>
      </c>
      <c r="F34" s="4">
        <v>12931</v>
      </c>
    </row>
    <row r="35" spans="1:6" x14ac:dyDescent="0.2">
      <c r="A35" s="3">
        <v>2000</v>
      </c>
      <c r="B35" s="4">
        <v>7023</v>
      </c>
      <c r="C35" s="4">
        <v>10204</v>
      </c>
      <c r="D35" s="4">
        <v>7275</v>
      </c>
      <c r="E35">
        <f t="shared" si="0"/>
        <v>8167.333333333333</v>
      </c>
      <c r="F35" s="4">
        <v>12246</v>
      </c>
    </row>
    <row r="36" spans="1:6" x14ac:dyDescent="0.2">
      <c r="A36" s="3" t="s">
        <v>108</v>
      </c>
      <c r="B36" s="4">
        <v>7268</v>
      </c>
      <c r="C36" s="4">
        <v>10654</v>
      </c>
      <c r="D36" s="4">
        <v>7603</v>
      </c>
      <c r="E36">
        <f t="shared" si="0"/>
        <v>8508.3333333333339</v>
      </c>
      <c r="F36" s="4">
        <v>13193</v>
      </c>
    </row>
    <row r="37" spans="1:6" x14ac:dyDescent="0.2">
      <c r="A37" s="3" t="s">
        <v>109</v>
      </c>
      <c r="B37" s="4">
        <v>7348</v>
      </c>
      <c r="C37" s="4">
        <v>10946</v>
      </c>
      <c r="D37" s="4">
        <v>7623</v>
      </c>
      <c r="E37">
        <f t="shared" si="0"/>
        <v>8639</v>
      </c>
      <c r="F37" s="4">
        <v>13760</v>
      </c>
    </row>
    <row r="38" spans="1:6" x14ac:dyDescent="0.2">
      <c r="A38" s="3" t="s">
        <v>110</v>
      </c>
      <c r="B38" s="4">
        <v>7352</v>
      </c>
      <c r="C38" s="4">
        <v>11012</v>
      </c>
      <c r="D38" s="4">
        <v>7794</v>
      </c>
      <c r="E38">
        <f t="shared" si="0"/>
        <v>8719.3333333333339</v>
      </c>
      <c r="F38" s="4">
        <v>12907</v>
      </c>
    </row>
    <row r="39" spans="1:6" x14ac:dyDescent="0.2">
      <c r="A39" s="3">
        <v>2001</v>
      </c>
      <c r="B39" s="4">
        <v>7611</v>
      </c>
      <c r="C39" s="4">
        <v>11523</v>
      </c>
      <c r="D39" s="4">
        <v>7978</v>
      </c>
      <c r="E39">
        <f t="shared" si="0"/>
        <v>9037.3333333333339</v>
      </c>
      <c r="F39" s="4">
        <v>13564</v>
      </c>
    </row>
    <row r="40" spans="1:6" x14ac:dyDescent="0.2">
      <c r="A40" s="3" t="s">
        <v>111</v>
      </c>
      <c r="B40" s="4">
        <v>7771</v>
      </c>
      <c r="C40" s="4">
        <v>11901</v>
      </c>
      <c r="D40" s="4">
        <v>8305</v>
      </c>
      <c r="E40">
        <f t="shared" si="0"/>
        <v>9325.6666666666661</v>
      </c>
      <c r="F40" s="4">
        <v>13978</v>
      </c>
    </row>
    <row r="41" spans="1:6" x14ac:dyDescent="0.2">
      <c r="A41" s="3" t="s">
        <v>112</v>
      </c>
      <c r="B41" s="4">
        <v>7631</v>
      </c>
      <c r="C41" s="4">
        <v>12457</v>
      </c>
      <c r="D41" s="4">
        <v>8263</v>
      </c>
      <c r="E41">
        <f t="shared" si="0"/>
        <v>9450.3333333333339</v>
      </c>
      <c r="F41" s="4">
        <v>14674</v>
      </c>
    </row>
    <row r="42" spans="1:6" x14ac:dyDescent="0.2">
      <c r="A42" s="3" t="s">
        <v>113</v>
      </c>
      <c r="B42" s="4">
        <v>7550</v>
      </c>
      <c r="C42" s="4">
        <v>12286</v>
      </c>
      <c r="D42" s="4">
        <v>8298</v>
      </c>
      <c r="E42">
        <f t="shared" si="0"/>
        <v>9378</v>
      </c>
      <c r="F42" s="4">
        <v>13795</v>
      </c>
    </row>
    <row r="43" spans="1:6" x14ac:dyDescent="0.2">
      <c r="A43" s="3">
        <v>2002</v>
      </c>
      <c r="B43" s="4">
        <v>7869</v>
      </c>
      <c r="C43" s="4">
        <v>12525</v>
      </c>
      <c r="D43" s="4">
        <v>8649</v>
      </c>
      <c r="E43">
        <f t="shared" si="0"/>
        <v>9681</v>
      </c>
      <c r="F43" s="4">
        <v>14068</v>
      </c>
    </row>
    <row r="44" spans="1:6" x14ac:dyDescent="0.2">
      <c r="A44" s="3" t="s">
        <v>114</v>
      </c>
      <c r="B44" s="4">
        <v>7990</v>
      </c>
      <c r="C44" s="4">
        <v>13077</v>
      </c>
      <c r="D44" s="4">
        <v>8988</v>
      </c>
      <c r="E44">
        <f t="shared" si="0"/>
        <v>10018.333333333334</v>
      </c>
      <c r="F44" s="4">
        <v>14577</v>
      </c>
    </row>
    <row r="45" spans="1:6" x14ac:dyDescent="0.2">
      <c r="A45" s="3" t="s">
        <v>115</v>
      </c>
      <c r="B45" s="4">
        <v>7956</v>
      </c>
      <c r="C45" s="4">
        <v>13193</v>
      </c>
      <c r="D45" s="4">
        <v>9289</v>
      </c>
      <c r="E45">
        <f t="shared" si="0"/>
        <v>10146</v>
      </c>
      <c r="F45" s="4">
        <v>14597</v>
      </c>
    </row>
    <row r="46" spans="1:6" x14ac:dyDescent="0.2">
      <c r="A46" s="3" t="s">
        <v>116</v>
      </c>
      <c r="B46" s="4">
        <v>7794</v>
      </c>
      <c r="C46" s="4">
        <v>13105</v>
      </c>
      <c r="D46" s="4">
        <v>9324</v>
      </c>
      <c r="E46">
        <f t="shared" si="0"/>
        <v>10074.333333333334</v>
      </c>
      <c r="F46" s="4">
        <v>14419</v>
      </c>
    </row>
    <row r="47" spans="1:6" x14ac:dyDescent="0.2">
      <c r="A47" s="3">
        <v>2003</v>
      </c>
      <c r="B47" s="4">
        <v>7886</v>
      </c>
      <c r="C47" s="4">
        <v>13491</v>
      </c>
      <c r="D47" s="4">
        <v>9601</v>
      </c>
      <c r="E47">
        <f t="shared" si="0"/>
        <v>10326</v>
      </c>
      <c r="F47" s="4">
        <v>15674</v>
      </c>
    </row>
    <row r="48" spans="1:6" x14ac:dyDescent="0.2">
      <c r="A48" s="3" t="s">
        <v>117</v>
      </c>
      <c r="B48" s="4">
        <v>8320</v>
      </c>
      <c r="C48" s="4">
        <v>13752</v>
      </c>
      <c r="D48" s="4">
        <v>10067</v>
      </c>
      <c r="E48">
        <f t="shared" si="0"/>
        <v>10713</v>
      </c>
      <c r="F48" s="4">
        <v>16140</v>
      </c>
    </row>
    <row r="49" spans="1:6" x14ac:dyDescent="0.2">
      <c r="A49" s="3" t="s">
        <v>118</v>
      </c>
      <c r="B49" s="4">
        <v>8367</v>
      </c>
      <c r="C49" s="4">
        <v>14050</v>
      </c>
      <c r="D49" s="4">
        <v>10405</v>
      </c>
      <c r="E49">
        <f t="shared" si="0"/>
        <v>10940.666666666666</v>
      </c>
      <c r="F49" s="4">
        <v>17148</v>
      </c>
    </row>
    <row r="50" spans="1:6" x14ac:dyDescent="0.2">
      <c r="A50" s="3" t="s">
        <v>119</v>
      </c>
      <c r="B50" s="4">
        <v>8312</v>
      </c>
      <c r="C50" s="4">
        <v>14176</v>
      </c>
      <c r="D50" s="4">
        <v>10583</v>
      </c>
      <c r="E50">
        <f t="shared" si="0"/>
        <v>11023.666666666666</v>
      </c>
      <c r="F50" s="4">
        <v>17006</v>
      </c>
    </row>
    <row r="51" spans="1:6" x14ac:dyDescent="0.2">
      <c r="A51" s="3">
        <v>2004</v>
      </c>
      <c r="B51" s="4">
        <v>8637</v>
      </c>
      <c r="C51" s="4">
        <v>14710</v>
      </c>
      <c r="D51" s="4">
        <v>11131</v>
      </c>
      <c r="E51">
        <f t="shared" si="0"/>
        <v>11492.666666666666</v>
      </c>
      <c r="F51" s="4">
        <v>17539</v>
      </c>
    </row>
    <row r="52" spans="1:6" x14ac:dyDescent="0.2">
      <c r="A52" s="3" t="s">
        <v>61</v>
      </c>
      <c r="B52" s="4">
        <v>8911</v>
      </c>
      <c r="C52" s="4">
        <v>15364</v>
      </c>
      <c r="D52" s="4">
        <v>11942</v>
      </c>
      <c r="E52">
        <f t="shared" si="0"/>
        <v>12072.333333333334</v>
      </c>
      <c r="F52" s="4">
        <v>19602</v>
      </c>
    </row>
    <row r="53" spans="1:6" x14ac:dyDescent="0.2">
      <c r="A53" s="3" t="s">
        <v>62</v>
      </c>
      <c r="B53" s="4">
        <v>9142</v>
      </c>
      <c r="C53" s="4">
        <v>16024</v>
      </c>
      <c r="D53" s="4">
        <v>12642</v>
      </c>
      <c r="E53">
        <f t="shared" si="0"/>
        <v>12602.666666666666</v>
      </c>
      <c r="F53" s="4">
        <v>21301</v>
      </c>
    </row>
    <row r="54" spans="1:6" x14ac:dyDescent="0.2">
      <c r="A54" s="3" t="s">
        <v>63</v>
      </c>
      <c r="B54" s="4">
        <v>9354</v>
      </c>
      <c r="C54" s="4">
        <v>16390</v>
      </c>
      <c r="D54" s="4">
        <v>12888</v>
      </c>
      <c r="E54">
        <f t="shared" si="0"/>
        <v>12877.333333333334</v>
      </c>
      <c r="F54" s="4">
        <v>22112</v>
      </c>
    </row>
    <row r="55" spans="1:6" x14ac:dyDescent="0.2">
      <c r="A55" s="3">
        <v>2005</v>
      </c>
      <c r="B55" s="4">
        <v>9760</v>
      </c>
      <c r="C55" s="4">
        <v>17304</v>
      </c>
      <c r="D55" s="4">
        <v>13699</v>
      </c>
      <c r="E55">
        <f t="shared" si="0"/>
        <v>13587.666666666666</v>
      </c>
      <c r="F55" s="4">
        <v>23067</v>
      </c>
    </row>
    <row r="56" spans="1:6" x14ac:dyDescent="0.2">
      <c r="A56" s="3" t="s">
        <v>64</v>
      </c>
      <c r="B56" s="4">
        <v>10369</v>
      </c>
      <c r="C56" s="4">
        <v>18590</v>
      </c>
      <c r="D56" s="4">
        <v>14524</v>
      </c>
      <c r="E56">
        <f t="shared" si="0"/>
        <v>14494.333333333334</v>
      </c>
      <c r="F56" s="4">
        <v>24810</v>
      </c>
    </row>
    <row r="57" spans="1:6" x14ac:dyDescent="0.2">
      <c r="A57" s="3" t="s">
        <v>65</v>
      </c>
      <c r="B57" s="4">
        <v>10922</v>
      </c>
      <c r="C57" s="4">
        <v>20102</v>
      </c>
      <c r="D57" s="4">
        <v>15552</v>
      </c>
      <c r="E57">
        <f t="shared" si="0"/>
        <v>15525.333333333334</v>
      </c>
      <c r="F57" s="4">
        <v>27374</v>
      </c>
    </row>
    <row r="58" spans="1:6" x14ac:dyDescent="0.2">
      <c r="A58" s="3" t="s">
        <v>66</v>
      </c>
      <c r="B58" s="4">
        <v>11493</v>
      </c>
      <c r="C58" s="4">
        <v>21269</v>
      </c>
      <c r="D58" s="4">
        <v>16136</v>
      </c>
      <c r="E58">
        <f t="shared" si="0"/>
        <v>16299.333333333334</v>
      </c>
      <c r="F58" s="4">
        <v>27924</v>
      </c>
    </row>
    <row r="59" spans="1:6" x14ac:dyDescent="0.2">
      <c r="A59" s="3">
        <v>2006</v>
      </c>
      <c r="B59" s="4">
        <v>12261</v>
      </c>
      <c r="C59" s="4">
        <v>22654</v>
      </c>
      <c r="D59" s="4">
        <v>16217</v>
      </c>
      <c r="E59">
        <f t="shared" si="0"/>
        <v>17044</v>
      </c>
      <c r="F59" s="4">
        <v>29518</v>
      </c>
    </row>
    <row r="60" spans="1:6" x14ac:dyDescent="0.2">
      <c r="A60" s="3" t="s">
        <v>67</v>
      </c>
      <c r="B60" s="4">
        <v>12997</v>
      </c>
      <c r="C60" s="4">
        <v>23990</v>
      </c>
      <c r="D60" s="4">
        <v>17334</v>
      </c>
      <c r="E60">
        <f t="shared" si="0"/>
        <v>18107</v>
      </c>
      <c r="F60" s="4">
        <v>30561</v>
      </c>
    </row>
    <row r="61" spans="1:6" x14ac:dyDescent="0.2">
      <c r="A61" s="3" t="s">
        <v>68</v>
      </c>
      <c r="B61" s="4">
        <v>13331</v>
      </c>
      <c r="C61" s="4">
        <v>23848</v>
      </c>
      <c r="D61" s="4">
        <v>17689</v>
      </c>
      <c r="E61">
        <f t="shared" si="0"/>
        <v>18289.333333333332</v>
      </c>
      <c r="F61" s="4">
        <v>30509</v>
      </c>
    </row>
    <row r="62" spans="1:6" x14ac:dyDescent="0.2">
      <c r="A62" s="3" t="s">
        <v>69</v>
      </c>
      <c r="B62" s="4">
        <v>13408</v>
      </c>
      <c r="C62" s="4">
        <v>22928</v>
      </c>
      <c r="D62" s="4">
        <v>17831</v>
      </c>
      <c r="E62">
        <f t="shared" si="0"/>
        <v>18055.666666666668</v>
      </c>
      <c r="F62" s="4">
        <v>29106</v>
      </c>
    </row>
    <row r="63" spans="1:6" x14ac:dyDescent="0.2">
      <c r="A63" s="3">
        <v>2007</v>
      </c>
      <c r="B63" s="4">
        <v>13480</v>
      </c>
      <c r="C63" s="4">
        <v>22371</v>
      </c>
      <c r="D63" s="4">
        <v>17745</v>
      </c>
      <c r="E63">
        <f t="shared" si="0"/>
        <v>17865.333333333332</v>
      </c>
      <c r="F63" s="4">
        <v>28562</v>
      </c>
    </row>
    <row r="64" spans="1:6" x14ac:dyDescent="0.2">
      <c r="A64" s="3" t="s">
        <v>70</v>
      </c>
      <c r="B64" s="4">
        <v>13716</v>
      </c>
      <c r="C64" s="4">
        <v>22279</v>
      </c>
      <c r="D64" s="4">
        <v>18536</v>
      </c>
      <c r="E64">
        <f t="shared" si="0"/>
        <v>18177</v>
      </c>
      <c r="F64" s="4">
        <v>27789</v>
      </c>
    </row>
    <row r="65" spans="1:6" x14ac:dyDescent="0.2">
      <c r="A65" s="3" t="s">
        <v>71</v>
      </c>
      <c r="B65" s="4">
        <v>13578</v>
      </c>
      <c r="C65" s="4">
        <v>21990</v>
      </c>
      <c r="D65" s="4">
        <v>18257</v>
      </c>
      <c r="E65">
        <f t="shared" si="0"/>
        <v>17941.666666666668</v>
      </c>
      <c r="F65" s="4">
        <v>26530</v>
      </c>
    </row>
    <row r="66" spans="1:6" x14ac:dyDescent="0.2">
      <c r="A66" s="3" t="s">
        <v>72</v>
      </c>
      <c r="B66" s="4">
        <v>13503</v>
      </c>
      <c r="C66" s="4">
        <v>21044</v>
      </c>
      <c r="D66" s="4">
        <v>18336</v>
      </c>
      <c r="E66">
        <f t="shared" si="0"/>
        <v>17627.666666666668</v>
      </c>
      <c r="F66" s="4">
        <v>25343</v>
      </c>
    </row>
    <row r="67" spans="1:6" x14ac:dyDescent="0.2">
      <c r="A67" s="3">
        <v>2008</v>
      </c>
      <c r="B67" s="4">
        <v>13391</v>
      </c>
      <c r="C67" s="4">
        <v>20633</v>
      </c>
      <c r="D67" s="4">
        <v>18042</v>
      </c>
      <c r="E67">
        <f t="shared" si="0"/>
        <v>17355.333333333332</v>
      </c>
      <c r="F67" s="4">
        <v>25221</v>
      </c>
    </row>
    <row r="68" spans="1:6" x14ac:dyDescent="0.2">
      <c r="A68" s="3" t="s">
        <v>2</v>
      </c>
      <c r="B68" s="4">
        <v>13435</v>
      </c>
      <c r="C68" s="4">
        <v>20364</v>
      </c>
      <c r="D68" s="4">
        <v>18290</v>
      </c>
      <c r="E68">
        <f t="shared" ref="E68:E118" si="1">AVERAGE(B68:D68)</f>
        <v>17363</v>
      </c>
      <c r="F68" s="4">
        <v>25546</v>
      </c>
    </row>
    <row r="69" spans="1:6" x14ac:dyDescent="0.2">
      <c r="A69" s="3" t="s">
        <v>3</v>
      </c>
      <c r="B69" s="4">
        <v>12967</v>
      </c>
      <c r="C69" s="4">
        <v>19547</v>
      </c>
      <c r="D69" s="4">
        <v>18379</v>
      </c>
      <c r="E69">
        <f t="shared" si="1"/>
        <v>16964.333333333332</v>
      </c>
      <c r="F69" s="4">
        <v>24585</v>
      </c>
    </row>
    <row r="70" spans="1:6" x14ac:dyDescent="0.2">
      <c r="A70" s="3" t="s">
        <v>4</v>
      </c>
      <c r="B70" s="4">
        <v>12198</v>
      </c>
      <c r="C70" s="4">
        <v>18093</v>
      </c>
      <c r="D70" s="4">
        <v>16242</v>
      </c>
      <c r="E70">
        <f t="shared" si="1"/>
        <v>15511</v>
      </c>
      <c r="F70" s="4">
        <v>22132</v>
      </c>
    </row>
    <row r="71" spans="1:6" x14ac:dyDescent="0.2">
      <c r="A71" s="3">
        <v>2009</v>
      </c>
      <c r="B71" s="4">
        <v>11504</v>
      </c>
      <c r="C71" s="4">
        <v>16799</v>
      </c>
      <c r="D71" s="4">
        <v>14824</v>
      </c>
      <c r="E71">
        <f t="shared" si="1"/>
        <v>14375.666666666666</v>
      </c>
      <c r="F71" s="4">
        <v>21935</v>
      </c>
    </row>
    <row r="72" spans="1:6" x14ac:dyDescent="0.2">
      <c r="A72" s="3" t="s">
        <v>6</v>
      </c>
      <c r="B72" s="4">
        <v>11690</v>
      </c>
      <c r="C72" s="4">
        <v>17240</v>
      </c>
      <c r="D72" s="4">
        <v>15726</v>
      </c>
      <c r="E72">
        <f t="shared" si="1"/>
        <v>14885.333333333334</v>
      </c>
      <c r="F72" s="4">
        <v>23010</v>
      </c>
    </row>
    <row r="73" spans="1:6" x14ac:dyDescent="0.2">
      <c r="A73" s="3" t="s">
        <v>7</v>
      </c>
      <c r="B73" s="4">
        <v>11618</v>
      </c>
      <c r="C73" s="4">
        <v>17375</v>
      </c>
      <c r="D73" s="4">
        <v>15853</v>
      </c>
      <c r="E73">
        <f t="shared" si="1"/>
        <v>14948.666666666666</v>
      </c>
      <c r="F73" s="4">
        <v>23440</v>
      </c>
    </row>
    <row r="74" spans="1:6" x14ac:dyDescent="0.2">
      <c r="A74" s="3" t="s">
        <v>8</v>
      </c>
      <c r="B74" s="4">
        <v>11736</v>
      </c>
      <c r="C74" s="4">
        <v>17815</v>
      </c>
      <c r="D74" s="4">
        <v>16030</v>
      </c>
      <c r="E74">
        <f t="shared" si="1"/>
        <v>15193.666666666666</v>
      </c>
      <c r="F74" s="4">
        <v>24221</v>
      </c>
    </row>
    <row r="75" spans="1:6" x14ac:dyDescent="0.2">
      <c r="A75" s="3">
        <v>2010</v>
      </c>
      <c r="B75" s="4">
        <v>11824</v>
      </c>
      <c r="C75" s="4">
        <v>17970</v>
      </c>
      <c r="D75" s="4">
        <v>15938</v>
      </c>
      <c r="E75">
        <f t="shared" si="1"/>
        <v>15244</v>
      </c>
      <c r="F75" s="4">
        <v>25202</v>
      </c>
    </row>
    <row r="76" spans="1:6" x14ac:dyDescent="0.2">
      <c r="A76" s="3" t="s">
        <v>10</v>
      </c>
      <c r="B76" s="4">
        <v>12102</v>
      </c>
      <c r="C76" s="4">
        <v>18593</v>
      </c>
      <c r="D76" s="4">
        <v>16163</v>
      </c>
      <c r="E76">
        <f t="shared" si="1"/>
        <v>15619.333333333334</v>
      </c>
      <c r="F76" s="4">
        <v>25322</v>
      </c>
    </row>
    <row r="77" spans="1:6" x14ac:dyDescent="0.2">
      <c r="A77" s="3" t="s">
        <v>11</v>
      </c>
      <c r="B77" s="4">
        <v>12000</v>
      </c>
      <c r="C77" s="4">
        <v>18515</v>
      </c>
      <c r="D77" s="4">
        <v>15825</v>
      </c>
      <c r="E77">
        <f t="shared" si="1"/>
        <v>15446.666666666666</v>
      </c>
      <c r="F77" s="4">
        <v>25267</v>
      </c>
    </row>
    <row r="78" spans="1:6" x14ac:dyDescent="0.2">
      <c r="A78" s="3" t="s">
        <v>12</v>
      </c>
      <c r="B78" s="4">
        <v>11930</v>
      </c>
      <c r="C78" s="4">
        <v>18463</v>
      </c>
      <c r="D78" s="4">
        <v>15873</v>
      </c>
      <c r="E78">
        <f t="shared" si="1"/>
        <v>15422</v>
      </c>
      <c r="F78" s="4">
        <v>25576</v>
      </c>
    </row>
    <row r="79" spans="1:6" x14ac:dyDescent="0.2">
      <c r="A79" s="3">
        <v>2011</v>
      </c>
      <c r="B79" s="4">
        <v>11824</v>
      </c>
      <c r="C79" s="4">
        <v>18577</v>
      </c>
      <c r="D79" s="4">
        <v>15289</v>
      </c>
      <c r="E79">
        <f t="shared" si="1"/>
        <v>15230</v>
      </c>
      <c r="F79" s="4">
        <v>26148</v>
      </c>
    </row>
    <row r="80" spans="1:6" x14ac:dyDescent="0.2">
      <c r="A80" s="3" t="s">
        <v>14</v>
      </c>
      <c r="B80" s="4">
        <v>11812</v>
      </c>
      <c r="C80" s="4">
        <v>18522</v>
      </c>
      <c r="D80" s="4">
        <v>15263</v>
      </c>
      <c r="E80">
        <f t="shared" si="1"/>
        <v>15199</v>
      </c>
      <c r="F80" s="4">
        <v>26679</v>
      </c>
    </row>
    <row r="81" spans="1:6" x14ac:dyDescent="0.2">
      <c r="A81" s="3" t="s">
        <v>15</v>
      </c>
      <c r="B81" s="4">
        <v>11339</v>
      </c>
      <c r="C81" s="4">
        <v>17655</v>
      </c>
      <c r="D81" s="4">
        <v>14841</v>
      </c>
      <c r="E81">
        <f t="shared" si="1"/>
        <v>14611.666666666666</v>
      </c>
      <c r="F81" s="4">
        <v>25338</v>
      </c>
    </row>
    <row r="82" spans="1:6" x14ac:dyDescent="0.2">
      <c r="A82" s="3" t="s">
        <v>16</v>
      </c>
      <c r="B82" s="4">
        <v>11145</v>
      </c>
      <c r="C82" s="4">
        <v>17441</v>
      </c>
      <c r="D82" s="4">
        <v>14651</v>
      </c>
      <c r="E82">
        <f t="shared" si="1"/>
        <v>14412.333333333334</v>
      </c>
      <c r="F82" s="4">
        <v>24881</v>
      </c>
    </row>
    <row r="83" spans="1:6" x14ac:dyDescent="0.2">
      <c r="A83" s="3">
        <v>2012</v>
      </c>
      <c r="B83" s="4">
        <v>10972</v>
      </c>
      <c r="C83" s="4">
        <v>17461</v>
      </c>
      <c r="D83" s="4">
        <v>13899</v>
      </c>
      <c r="E83">
        <f t="shared" si="1"/>
        <v>14110.666666666666</v>
      </c>
      <c r="F83" s="4">
        <v>24593</v>
      </c>
    </row>
    <row r="84" spans="1:6" x14ac:dyDescent="0.2">
      <c r="A84" s="3" t="s">
        <v>18</v>
      </c>
      <c r="B84" s="4">
        <v>11072</v>
      </c>
      <c r="C84" s="4">
        <v>17625</v>
      </c>
      <c r="D84" s="4">
        <v>14327</v>
      </c>
      <c r="E84">
        <f t="shared" si="1"/>
        <v>14341.333333333334</v>
      </c>
      <c r="F84" s="4">
        <v>24861</v>
      </c>
    </row>
    <row r="85" spans="1:6" x14ac:dyDescent="0.2">
      <c r="A85" s="3" t="s">
        <v>19</v>
      </c>
      <c r="B85" s="4">
        <v>11084</v>
      </c>
      <c r="C85" s="4">
        <v>17708</v>
      </c>
      <c r="D85" s="4">
        <v>14037</v>
      </c>
      <c r="E85">
        <f t="shared" si="1"/>
        <v>14276.333333333334</v>
      </c>
      <c r="F85" s="4">
        <v>25372</v>
      </c>
    </row>
    <row r="86" spans="1:6" x14ac:dyDescent="0.2">
      <c r="A86" s="3" t="s">
        <v>20</v>
      </c>
      <c r="B86" s="4">
        <v>10931</v>
      </c>
      <c r="C86" s="4">
        <v>18171</v>
      </c>
      <c r="D86" s="4">
        <v>13564</v>
      </c>
      <c r="E86">
        <f t="shared" si="1"/>
        <v>14222</v>
      </c>
      <c r="F86" s="4">
        <v>25534</v>
      </c>
    </row>
    <row r="87" spans="1:6" x14ac:dyDescent="0.2">
      <c r="A87" s="3">
        <v>2013</v>
      </c>
      <c r="B87" s="4">
        <v>11041</v>
      </c>
      <c r="C87" s="4">
        <v>18429</v>
      </c>
      <c r="D87" s="4">
        <v>13888</v>
      </c>
      <c r="E87">
        <f t="shared" si="1"/>
        <v>14452.666666666666</v>
      </c>
      <c r="F87" s="4">
        <v>26637</v>
      </c>
    </row>
    <row r="88" spans="1:6" x14ac:dyDescent="0.2">
      <c r="A88" s="3" t="s">
        <v>22</v>
      </c>
      <c r="B88" s="4">
        <v>11167</v>
      </c>
      <c r="C88" s="4">
        <v>19133</v>
      </c>
      <c r="D88" s="4">
        <v>14111</v>
      </c>
      <c r="E88">
        <f t="shared" si="1"/>
        <v>14803.666666666666</v>
      </c>
      <c r="F88" s="4">
        <v>27035</v>
      </c>
    </row>
    <row r="89" spans="1:6" x14ac:dyDescent="0.2">
      <c r="A89" s="3" t="s">
        <v>23</v>
      </c>
      <c r="B89" s="4">
        <v>11128</v>
      </c>
      <c r="C89" s="4">
        <v>19480</v>
      </c>
      <c r="D89" s="4">
        <v>13834</v>
      </c>
      <c r="E89">
        <f t="shared" si="1"/>
        <v>14814</v>
      </c>
      <c r="F89" s="4">
        <v>27657</v>
      </c>
    </row>
    <row r="90" spans="1:6" x14ac:dyDescent="0.2">
      <c r="A90" s="3" t="s">
        <v>24</v>
      </c>
      <c r="B90" s="4">
        <v>11082</v>
      </c>
      <c r="C90" s="4">
        <v>19441</v>
      </c>
      <c r="D90" s="4">
        <v>13826</v>
      </c>
      <c r="E90">
        <f t="shared" si="1"/>
        <v>14783</v>
      </c>
      <c r="F90" s="4">
        <v>26789</v>
      </c>
    </row>
    <row r="91" spans="1:6" x14ac:dyDescent="0.2">
      <c r="A91" s="3">
        <v>2014</v>
      </c>
      <c r="B91" s="4">
        <v>11100</v>
      </c>
      <c r="C91" s="4">
        <v>19439</v>
      </c>
      <c r="D91" s="4">
        <v>13391</v>
      </c>
      <c r="E91">
        <f t="shared" si="1"/>
        <v>14643.333333333334</v>
      </c>
      <c r="F91" s="4">
        <v>27223</v>
      </c>
    </row>
    <row r="92" spans="1:6" x14ac:dyDescent="0.2">
      <c r="A92" s="3" t="s">
        <v>26</v>
      </c>
      <c r="B92" s="4">
        <v>11406</v>
      </c>
      <c r="C92" s="4">
        <v>20291</v>
      </c>
      <c r="D92" s="4">
        <v>13750</v>
      </c>
      <c r="E92">
        <f t="shared" si="1"/>
        <v>15149</v>
      </c>
      <c r="F92" s="4">
        <v>28561</v>
      </c>
    </row>
    <row r="93" spans="1:6" x14ac:dyDescent="0.2">
      <c r="A93" s="3" t="s">
        <v>27</v>
      </c>
      <c r="B93" s="4">
        <v>11315</v>
      </c>
      <c r="C93" s="4">
        <v>20312</v>
      </c>
      <c r="D93" s="4">
        <v>13526</v>
      </c>
      <c r="E93">
        <f t="shared" si="1"/>
        <v>15051</v>
      </c>
      <c r="F93" s="4">
        <v>28807</v>
      </c>
    </row>
    <row r="94" spans="1:6" x14ac:dyDescent="0.2">
      <c r="A94" s="3" t="s">
        <v>28</v>
      </c>
      <c r="B94" s="4">
        <v>11285</v>
      </c>
      <c r="C94" s="4">
        <v>20470</v>
      </c>
      <c r="D94" s="4">
        <v>13328</v>
      </c>
      <c r="E94">
        <f t="shared" si="1"/>
        <v>15027.666666666666</v>
      </c>
      <c r="F94" s="4">
        <v>28242</v>
      </c>
    </row>
    <row r="95" spans="1:6" x14ac:dyDescent="0.2">
      <c r="A95" s="3">
        <v>2015</v>
      </c>
      <c r="B95" s="4">
        <v>11764</v>
      </c>
      <c r="C95" s="4">
        <v>21261</v>
      </c>
      <c r="D95" s="4">
        <v>13604</v>
      </c>
      <c r="E95">
        <f t="shared" si="1"/>
        <v>15543</v>
      </c>
      <c r="F95" s="4">
        <v>29323</v>
      </c>
    </row>
    <row r="96" spans="1:6" x14ac:dyDescent="0.2">
      <c r="A96" s="3" t="s">
        <v>30</v>
      </c>
      <c r="B96" s="4">
        <v>12192</v>
      </c>
      <c r="C96" s="4">
        <v>22467</v>
      </c>
      <c r="D96" s="4">
        <v>14151</v>
      </c>
      <c r="E96">
        <f t="shared" si="1"/>
        <v>16270</v>
      </c>
      <c r="F96" s="4">
        <v>30851</v>
      </c>
    </row>
    <row r="97" spans="1:6" x14ac:dyDescent="0.2">
      <c r="A97" s="3" t="s">
        <v>31</v>
      </c>
      <c r="B97" s="4">
        <v>12124</v>
      </c>
      <c r="C97" s="4">
        <v>22632</v>
      </c>
      <c r="D97" s="4">
        <v>13778</v>
      </c>
      <c r="E97">
        <f t="shared" si="1"/>
        <v>16178</v>
      </c>
      <c r="F97" s="4">
        <v>31410</v>
      </c>
    </row>
    <row r="98" spans="1:6" x14ac:dyDescent="0.2">
      <c r="A98" s="3" t="s">
        <v>32</v>
      </c>
      <c r="B98" s="4">
        <v>12026</v>
      </c>
      <c r="C98" s="4">
        <v>22719</v>
      </c>
      <c r="D98" s="4">
        <v>13454</v>
      </c>
      <c r="E98">
        <f t="shared" si="1"/>
        <v>16066.333333333334</v>
      </c>
      <c r="F98" s="4">
        <v>31354</v>
      </c>
    </row>
    <row r="99" spans="1:6" x14ac:dyDescent="0.2">
      <c r="A99" s="3">
        <v>2016</v>
      </c>
      <c r="B99" s="4">
        <v>12166</v>
      </c>
      <c r="C99" s="4">
        <v>23270</v>
      </c>
      <c r="D99" s="4">
        <v>13277</v>
      </c>
      <c r="E99">
        <f t="shared" si="1"/>
        <v>16237.666666666666</v>
      </c>
      <c r="F99" s="4">
        <v>32792</v>
      </c>
    </row>
    <row r="100" spans="1:6" x14ac:dyDescent="0.2">
      <c r="A100" s="3" t="s">
        <v>34</v>
      </c>
      <c r="B100" s="4">
        <v>12528</v>
      </c>
      <c r="C100" s="4">
        <v>24218</v>
      </c>
      <c r="D100" s="4">
        <v>14123</v>
      </c>
      <c r="E100">
        <f t="shared" si="1"/>
        <v>16956.333333333332</v>
      </c>
      <c r="F100" s="4">
        <v>33697</v>
      </c>
    </row>
    <row r="101" spans="1:6" x14ac:dyDescent="0.2">
      <c r="A101" s="3" t="s">
        <v>35</v>
      </c>
      <c r="B101" s="4">
        <v>12670</v>
      </c>
      <c r="C101" s="4">
        <v>24338</v>
      </c>
      <c r="D101" s="4">
        <v>14091</v>
      </c>
      <c r="E101">
        <f t="shared" si="1"/>
        <v>17033</v>
      </c>
      <c r="F101" s="4">
        <v>33303</v>
      </c>
    </row>
    <row r="102" spans="1:6" x14ac:dyDescent="0.2">
      <c r="A102" s="3" t="s">
        <v>36</v>
      </c>
      <c r="B102" s="4">
        <v>12529</v>
      </c>
      <c r="C102" s="4">
        <v>24535</v>
      </c>
      <c r="D102" s="4">
        <v>13671</v>
      </c>
      <c r="E102">
        <f t="shared" si="1"/>
        <v>16911.666666666668</v>
      </c>
      <c r="F102" s="4">
        <v>33262</v>
      </c>
    </row>
    <row r="103" spans="1:6" x14ac:dyDescent="0.2">
      <c r="A103" s="3">
        <v>2017</v>
      </c>
      <c r="B103" s="4">
        <v>12647</v>
      </c>
      <c r="C103" s="4">
        <v>25146</v>
      </c>
      <c r="D103" s="4">
        <v>13406</v>
      </c>
      <c r="E103">
        <f t="shared" si="1"/>
        <v>17066.333333333332</v>
      </c>
      <c r="F103" s="4">
        <v>34555</v>
      </c>
    </row>
    <row r="104" spans="1:6" x14ac:dyDescent="0.2">
      <c r="A104" s="3" t="s">
        <v>38</v>
      </c>
      <c r="B104" s="4">
        <v>13152</v>
      </c>
      <c r="C104" s="4">
        <v>25973</v>
      </c>
      <c r="D104" s="4">
        <v>14606</v>
      </c>
      <c r="E104">
        <f t="shared" si="1"/>
        <v>17910.333333333332</v>
      </c>
      <c r="F104" s="4">
        <v>34591</v>
      </c>
    </row>
    <row r="105" spans="1:6" x14ac:dyDescent="0.2">
      <c r="A105" s="3" t="s">
        <v>39</v>
      </c>
      <c r="B105" s="4">
        <v>13160</v>
      </c>
      <c r="C105" s="4">
        <v>26720</v>
      </c>
      <c r="D105" s="4">
        <v>14490</v>
      </c>
      <c r="E105">
        <f t="shared" si="1"/>
        <v>18123.333333333332</v>
      </c>
      <c r="F105" s="4">
        <v>35046</v>
      </c>
    </row>
    <row r="106" spans="1:6" x14ac:dyDescent="0.2">
      <c r="A106" s="3" t="s">
        <v>40</v>
      </c>
      <c r="B106" s="4">
        <v>13179</v>
      </c>
      <c r="C106" s="4">
        <v>26627</v>
      </c>
      <c r="D106" s="4">
        <v>14622</v>
      </c>
      <c r="E106">
        <f t="shared" si="1"/>
        <v>18142.666666666668</v>
      </c>
      <c r="F106" s="4">
        <v>34909</v>
      </c>
    </row>
    <row r="107" spans="1:6" x14ac:dyDescent="0.2">
      <c r="A107" s="3">
        <v>2018</v>
      </c>
      <c r="B107" s="4">
        <v>13407</v>
      </c>
      <c r="C107" s="4">
        <v>27416</v>
      </c>
      <c r="D107" s="4">
        <v>14658</v>
      </c>
      <c r="E107">
        <f t="shared" si="1"/>
        <v>18493.666666666668</v>
      </c>
      <c r="F107" s="4">
        <v>36300</v>
      </c>
    </row>
    <row r="108" spans="1:6" x14ac:dyDescent="0.2">
      <c r="A108" s="3" t="s">
        <v>42</v>
      </c>
      <c r="B108" s="4">
        <v>13628</v>
      </c>
      <c r="C108" s="4">
        <v>27950</v>
      </c>
      <c r="D108" s="4">
        <v>15264</v>
      </c>
      <c r="E108">
        <f t="shared" si="1"/>
        <v>18947.333333333332</v>
      </c>
      <c r="F108" s="4">
        <v>35876</v>
      </c>
    </row>
    <row r="109" spans="1:6" x14ac:dyDescent="0.2">
      <c r="A109" s="3" t="s">
        <v>43</v>
      </c>
      <c r="B109" s="4">
        <v>13697</v>
      </c>
      <c r="C109" s="4">
        <v>27710</v>
      </c>
      <c r="D109" s="4">
        <v>15249</v>
      </c>
      <c r="E109">
        <f t="shared" si="1"/>
        <v>18885.333333333332</v>
      </c>
      <c r="F109" s="4">
        <v>36630</v>
      </c>
    </row>
    <row r="110" spans="1:6" x14ac:dyDescent="0.2">
      <c r="A110" s="3" t="s">
        <v>44</v>
      </c>
      <c r="B110" s="4">
        <v>13638</v>
      </c>
      <c r="C110" s="4">
        <v>27291</v>
      </c>
      <c r="D110" s="4">
        <v>15027</v>
      </c>
      <c r="E110">
        <f t="shared" si="1"/>
        <v>18652</v>
      </c>
      <c r="F110" s="4">
        <v>35165</v>
      </c>
    </row>
    <row r="111" spans="1:6" x14ac:dyDescent="0.2">
      <c r="A111" s="3">
        <v>2019</v>
      </c>
      <c r="B111" s="4">
        <v>13618</v>
      </c>
      <c r="C111" s="4">
        <v>27544</v>
      </c>
      <c r="D111" s="4">
        <v>14882</v>
      </c>
      <c r="E111">
        <f t="shared" si="1"/>
        <v>18681.333333333332</v>
      </c>
      <c r="F111" s="4">
        <v>35695</v>
      </c>
    </row>
    <row r="112" spans="1:6" x14ac:dyDescent="0.2">
      <c r="A112" s="3" t="s">
        <v>46</v>
      </c>
      <c r="B112" s="4">
        <v>14002</v>
      </c>
      <c r="C112" s="4">
        <v>27943</v>
      </c>
      <c r="D112" s="4">
        <v>15864</v>
      </c>
      <c r="E112">
        <f t="shared" si="1"/>
        <v>19269.666666666668</v>
      </c>
      <c r="F112" s="4">
        <v>36348</v>
      </c>
    </row>
    <row r="113" spans="1:6" x14ac:dyDescent="0.2">
      <c r="A113" s="3" t="s">
        <v>47</v>
      </c>
      <c r="B113" s="4">
        <v>14145</v>
      </c>
      <c r="C113" s="4">
        <v>28099</v>
      </c>
      <c r="D113" s="4">
        <v>15716</v>
      </c>
      <c r="E113">
        <f t="shared" si="1"/>
        <v>19320</v>
      </c>
      <c r="F113" s="4">
        <v>35561</v>
      </c>
    </row>
    <row r="114" spans="1:6" x14ac:dyDescent="0.2">
      <c r="A114" s="3" t="s">
        <v>48</v>
      </c>
      <c r="B114" s="4">
        <v>14176</v>
      </c>
      <c r="C114" s="4">
        <v>28256</v>
      </c>
      <c r="D114" s="4">
        <v>15726</v>
      </c>
      <c r="E114">
        <f t="shared" si="1"/>
        <v>19386</v>
      </c>
      <c r="F114" s="4">
        <v>36203</v>
      </c>
    </row>
    <row r="115" spans="1:6" x14ac:dyDescent="0.2">
      <c r="A115" s="3">
        <v>2020</v>
      </c>
      <c r="B115" s="4">
        <v>14124</v>
      </c>
      <c r="C115" s="4">
        <v>28678</v>
      </c>
      <c r="D115" s="4">
        <v>15809</v>
      </c>
      <c r="E115">
        <f t="shared" si="1"/>
        <v>19537</v>
      </c>
      <c r="F115" s="4">
        <v>36878</v>
      </c>
    </row>
    <row r="116" spans="1:6" x14ac:dyDescent="0.2">
      <c r="A116" s="3" t="s">
        <v>50</v>
      </c>
      <c r="B116" s="4">
        <v>14350</v>
      </c>
      <c r="C116" s="4">
        <v>28907</v>
      </c>
      <c r="D116" s="4">
        <v>16426</v>
      </c>
      <c r="E116">
        <f t="shared" si="1"/>
        <v>19894.333333333332</v>
      </c>
      <c r="F116" s="4">
        <v>36804</v>
      </c>
    </row>
    <row r="117" spans="1:6" x14ac:dyDescent="0.2">
      <c r="A117" s="3" t="s">
        <v>51</v>
      </c>
      <c r="B117" s="4">
        <v>14731</v>
      </c>
      <c r="C117" s="4">
        <v>29768</v>
      </c>
      <c r="D117" s="4">
        <v>17532</v>
      </c>
      <c r="E117">
        <f t="shared" si="1"/>
        <v>20677</v>
      </c>
      <c r="F117" s="4">
        <v>38538</v>
      </c>
    </row>
    <row r="118" spans="1:6" x14ac:dyDescent="0.2">
      <c r="A118" s="3" t="s">
        <v>53</v>
      </c>
      <c r="B118" s="4">
        <v>15014</v>
      </c>
      <c r="C118" s="4">
        <v>30657</v>
      </c>
      <c r="D118" s="4">
        <v>17785</v>
      </c>
      <c r="E118">
        <f t="shared" si="1"/>
        <v>21152</v>
      </c>
      <c r="F118" s="4">
        <v>38574</v>
      </c>
    </row>
    <row r="120" spans="1:6" x14ac:dyDescent="0.2">
      <c r="A120" s="10"/>
      <c r="B120" s="3" t="s">
        <v>145</v>
      </c>
      <c r="C120" s="3" t="s">
        <v>146</v>
      </c>
      <c r="D120" s="3" t="s">
        <v>147</v>
      </c>
      <c r="E120" s="1" t="s">
        <v>148</v>
      </c>
      <c r="F120" s="1" t="s">
        <v>144</v>
      </c>
    </row>
    <row r="121" spans="1:6" x14ac:dyDescent="0.2">
      <c r="A121" s="1" t="s">
        <v>151</v>
      </c>
      <c r="B121">
        <f>SUM(B1:B118)</f>
        <v>1118323</v>
      </c>
      <c r="C121">
        <f t="shared" ref="C121:F121" si="2">SUM(C1:C118)</f>
        <v>1890339</v>
      </c>
      <c r="D121">
        <f t="shared" si="2"/>
        <v>1341038</v>
      </c>
      <c r="E121">
        <f>SUM(E1:E118)</f>
        <v>1449899.9999999995</v>
      </c>
      <c r="F121">
        <f t="shared" si="2"/>
        <v>2490972</v>
      </c>
    </row>
    <row r="122" spans="1:6" x14ac:dyDescent="0.2">
      <c r="B122" s="17">
        <f t="shared" ref="B122:C122" si="3">(B118-B3)/B3</f>
        <v>2.7338970405371796</v>
      </c>
      <c r="C122" s="17">
        <f t="shared" si="3"/>
        <v>4.2675257731958762</v>
      </c>
      <c r="D122" s="17">
        <f>(D118-D3)/D3</f>
        <v>3.0047286647151541</v>
      </c>
      <c r="E122" s="17">
        <f>(E118-E3)/E3</f>
        <v>3.4430751995518829</v>
      </c>
      <c r="F122" s="17">
        <f>(F118-F3)/F3</f>
        <v>4.1853743782766504</v>
      </c>
    </row>
    <row r="123" spans="1:6" x14ac:dyDescent="0.2">
      <c r="B123" s="17"/>
      <c r="C123" s="17"/>
      <c r="D123" s="17"/>
      <c r="E123" s="17"/>
      <c r="F123" s="17">
        <f>(F118-F107)/F107</f>
        <v>6.2644628099173552E-2</v>
      </c>
    </row>
    <row r="129" spans="5:5" x14ac:dyDescent="0.2">
      <c r="E129" t="s">
        <v>152</v>
      </c>
    </row>
  </sheetData>
  <mergeCells count="1">
    <mergeCell ref="B1:D1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83656-D82D-4C47-8013-17A6FB1DD620}">
  <dimension ref="A1:G41"/>
  <sheetViews>
    <sheetView showGridLines="0" topLeftCell="A13" workbookViewId="0">
      <selection activeCell="J45" sqref="J45"/>
    </sheetView>
  </sheetViews>
  <sheetFormatPr baseColWidth="10" defaultRowHeight="14" x14ac:dyDescent="0.15"/>
  <cols>
    <col min="1" max="2" width="10.83203125" style="22"/>
    <col min="3" max="3" width="13.83203125" style="22" customWidth="1"/>
    <col min="4" max="16384" width="10.83203125" style="22"/>
  </cols>
  <sheetData>
    <row r="1" spans="1:7" ht="16" customHeight="1" x14ac:dyDescent="0.15">
      <c r="A1" s="28" t="s">
        <v>138</v>
      </c>
      <c r="B1" s="28" t="s">
        <v>137</v>
      </c>
      <c r="C1" s="27" t="s">
        <v>136</v>
      </c>
    </row>
    <row r="2" spans="1:7" ht="16" customHeight="1" x14ac:dyDescent="0.15">
      <c r="A2" s="26" t="s">
        <v>135</v>
      </c>
      <c r="B2" s="26" t="s">
        <v>126</v>
      </c>
      <c r="C2" s="25">
        <v>315188</v>
      </c>
    </row>
    <row r="3" spans="1:7" ht="16" customHeight="1" x14ac:dyDescent="0.15">
      <c r="A3" s="26"/>
      <c r="B3" s="24" t="s">
        <v>125</v>
      </c>
      <c r="C3" s="23">
        <v>314883</v>
      </c>
    </row>
    <row r="4" spans="1:7" ht="16" customHeight="1" x14ac:dyDescent="0.15">
      <c r="A4" s="26"/>
      <c r="B4" s="26" t="s">
        <v>124</v>
      </c>
      <c r="C4" s="25">
        <v>318742</v>
      </c>
      <c r="G4" s="22" t="s">
        <v>139</v>
      </c>
    </row>
    <row r="5" spans="1:7" ht="16" customHeight="1" x14ac:dyDescent="0.15">
      <c r="A5" s="24" t="s">
        <v>134</v>
      </c>
      <c r="B5" s="24" t="s">
        <v>122</v>
      </c>
      <c r="C5" s="23">
        <v>319038</v>
      </c>
    </row>
    <row r="6" spans="1:7" ht="16" customHeight="1" x14ac:dyDescent="0.15">
      <c r="A6" s="24"/>
      <c r="B6" s="26" t="s">
        <v>126</v>
      </c>
      <c r="C6" s="25">
        <v>319699</v>
      </c>
    </row>
    <row r="7" spans="1:7" ht="16" customHeight="1" x14ac:dyDescent="0.15">
      <c r="A7" s="24"/>
      <c r="B7" s="24" t="s">
        <v>125</v>
      </c>
      <c r="C7" s="23">
        <v>319646</v>
      </c>
    </row>
    <row r="8" spans="1:7" ht="16" customHeight="1" x14ac:dyDescent="0.15">
      <c r="A8" s="24"/>
      <c r="B8" s="26" t="s">
        <v>124</v>
      </c>
      <c r="C8" s="25">
        <v>323574</v>
      </c>
    </row>
    <row r="9" spans="1:7" ht="16" customHeight="1" x14ac:dyDescent="0.15">
      <c r="A9" s="26" t="s">
        <v>133</v>
      </c>
      <c r="B9" s="24" t="s">
        <v>122</v>
      </c>
      <c r="C9" s="23">
        <v>323815</v>
      </c>
    </row>
    <row r="10" spans="1:7" ht="16" customHeight="1" x14ac:dyDescent="0.15">
      <c r="A10" s="26"/>
      <c r="B10" s="26" t="s">
        <v>126</v>
      </c>
      <c r="C10" s="25">
        <v>324260</v>
      </c>
    </row>
    <row r="11" spans="1:7" ht="16" customHeight="1" x14ac:dyDescent="0.15">
      <c r="A11" s="26"/>
      <c r="B11" s="24" t="s">
        <v>125</v>
      </c>
      <c r="C11" s="23">
        <v>323399</v>
      </c>
    </row>
    <row r="12" spans="1:7" ht="16" customHeight="1" x14ac:dyDescent="0.15">
      <c r="A12" s="26"/>
      <c r="B12" s="26" t="s">
        <v>124</v>
      </c>
      <c r="C12" s="25">
        <v>326621</v>
      </c>
    </row>
    <row r="13" spans="1:7" ht="16" customHeight="1" x14ac:dyDescent="0.15">
      <c r="A13" s="24" t="s">
        <v>132</v>
      </c>
      <c r="B13" s="24" t="s">
        <v>122</v>
      </c>
      <c r="C13" s="23">
        <v>326175</v>
      </c>
    </row>
    <row r="14" spans="1:7" ht="16" customHeight="1" x14ac:dyDescent="0.15">
      <c r="A14" s="24"/>
      <c r="B14" s="26" t="s">
        <v>126</v>
      </c>
      <c r="C14" s="25">
        <v>326943</v>
      </c>
    </row>
    <row r="15" spans="1:7" ht="16" customHeight="1" x14ac:dyDescent="0.15">
      <c r="A15" s="24"/>
      <c r="B15" s="24" t="s">
        <v>125</v>
      </c>
      <c r="C15" s="23">
        <v>326562</v>
      </c>
    </row>
    <row r="16" spans="1:7" ht="16" customHeight="1" x14ac:dyDescent="0.15">
      <c r="A16" s="24"/>
      <c r="B16" s="26" t="s">
        <v>124</v>
      </c>
      <c r="C16" s="25">
        <v>330547</v>
      </c>
    </row>
    <row r="17" spans="1:3" ht="16" customHeight="1" x14ac:dyDescent="0.15">
      <c r="A17" s="26" t="s">
        <v>131</v>
      </c>
      <c r="B17" s="24" t="s">
        <v>122</v>
      </c>
      <c r="C17" s="23">
        <v>330547</v>
      </c>
    </row>
    <row r="18" spans="1:3" ht="16" customHeight="1" x14ac:dyDescent="0.15">
      <c r="A18" s="26"/>
      <c r="B18" s="26" t="s">
        <v>126</v>
      </c>
      <c r="C18" s="25">
        <v>331299</v>
      </c>
    </row>
    <row r="19" spans="1:3" ht="16" customHeight="1" x14ac:dyDescent="0.15">
      <c r="A19" s="26"/>
      <c r="B19" s="24" t="s">
        <v>125</v>
      </c>
      <c r="C19" s="23">
        <v>331451</v>
      </c>
    </row>
    <row r="20" spans="1:3" ht="16" customHeight="1" x14ac:dyDescent="0.15">
      <c r="A20" s="26"/>
      <c r="B20" s="26" t="s">
        <v>124</v>
      </c>
      <c r="C20" s="25">
        <v>335670</v>
      </c>
    </row>
    <row r="21" spans="1:3" ht="16" customHeight="1" x14ac:dyDescent="0.15">
      <c r="A21" s="24" t="s">
        <v>130</v>
      </c>
      <c r="B21" s="24" t="s">
        <v>122</v>
      </c>
      <c r="C21" s="23">
        <v>335607</v>
      </c>
    </row>
    <row r="22" spans="1:3" ht="16" customHeight="1" x14ac:dyDescent="0.15">
      <c r="A22" s="24"/>
      <c r="B22" s="26" t="s">
        <v>126</v>
      </c>
      <c r="C22" s="25">
        <v>336298</v>
      </c>
    </row>
    <row r="23" spans="1:3" ht="16" customHeight="1" x14ac:dyDescent="0.15">
      <c r="A23" s="24"/>
      <c r="B23" s="24" t="s">
        <v>125</v>
      </c>
      <c r="C23" s="23">
        <v>336332</v>
      </c>
    </row>
    <row r="24" spans="1:3" ht="16" customHeight="1" x14ac:dyDescent="0.15">
      <c r="A24" s="24"/>
      <c r="B24" s="26" t="s">
        <v>124</v>
      </c>
      <c r="C24" s="25">
        <v>340275</v>
      </c>
    </row>
    <row r="25" spans="1:3" ht="16" customHeight="1" x14ac:dyDescent="0.15">
      <c r="A25" s="26" t="s">
        <v>129</v>
      </c>
      <c r="B25" s="24" t="s">
        <v>122</v>
      </c>
      <c r="C25" s="23">
        <v>340312</v>
      </c>
    </row>
    <row r="26" spans="1:3" ht="16" customHeight="1" x14ac:dyDescent="0.15">
      <c r="A26" s="26"/>
      <c r="B26" s="26" t="s">
        <v>126</v>
      </c>
      <c r="C26" s="25">
        <v>341254</v>
      </c>
    </row>
    <row r="27" spans="1:3" ht="16" customHeight="1" x14ac:dyDescent="0.15">
      <c r="A27" s="26"/>
      <c r="B27" s="24" t="s">
        <v>125</v>
      </c>
      <c r="C27" s="23">
        <v>341423</v>
      </c>
    </row>
    <row r="28" spans="1:3" ht="16" customHeight="1" x14ac:dyDescent="0.15">
      <c r="A28" s="26"/>
      <c r="B28" s="26" t="s">
        <v>124</v>
      </c>
      <c r="C28" s="25">
        <v>345603</v>
      </c>
    </row>
    <row r="29" spans="1:3" ht="16" customHeight="1" x14ac:dyDescent="0.15">
      <c r="A29" s="24" t="s">
        <v>128</v>
      </c>
      <c r="B29" s="24" t="s">
        <v>122</v>
      </c>
      <c r="C29" s="23">
        <v>345208</v>
      </c>
    </row>
    <row r="30" spans="1:3" ht="16" customHeight="1" x14ac:dyDescent="0.15">
      <c r="A30" s="24"/>
      <c r="B30" s="26" t="s">
        <v>126</v>
      </c>
      <c r="C30" s="25">
        <v>345401</v>
      </c>
    </row>
    <row r="31" spans="1:3" ht="16" customHeight="1" x14ac:dyDescent="0.15">
      <c r="A31" s="24"/>
      <c r="B31" s="24" t="s">
        <v>125</v>
      </c>
      <c r="C31" s="23">
        <v>345559</v>
      </c>
    </row>
    <row r="32" spans="1:3" ht="16" customHeight="1" x14ac:dyDescent="0.15">
      <c r="A32" s="24"/>
      <c r="B32" s="26" t="s">
        <v>124</v>
      </c>
      <c r="C32" s="25">
        <v>349873</v>
      </c>
    </row>
    <row r="33" spans="1:5" ht="16" customHeight="1" x14ac:dyDescent="0.15">
      <c r="A33" s="26" t="s">
        <v>127</v>
      </c>
      <c r="B33" s="24" t="s">
        <v>122</v>
      </c>
      <c r="C33" s="23">
        <v>349964</v>
      </c>
    </row>
    <row r="34" spans="1:5" ht="16" customHeight="1" x14ac:dyDescent="0.15">
      <c r="A34" s="26"/>
      <c r="B34" s="26" t="s">
        <v>126</v>
      </c>
      <c r="C34" s="25">
        <v>349910</v>
      </c>
    </row>
    <row r="35" spans="1:5" ht="16" customHeight="1" x14ac:dyDescent="0.15">
      <c r="A35" s="26"/>
      <c r="B35" s="24" t="s">
        <v>125</v>
      </c>
      <c r="C35" s="23">
        <v>349414</v>
      </c>
    </row>
    <row r="36" spans="1:5" ht="16" customHeight="1" x14ac:dyDescent="0.15">
      <c r="A36" s="26"/>
      <c r="B36" s="26" t="s">
        <v>124</v>
      </c>
      <c r="C36" s="25">
        <v>353354</v>
      </c>
    </row>
    <row r="37" spans="1:5" ht="16" customHeight="1" x14ac:dyDescent="0.15">
      <c r="A37" s="24" t="s">
        <v>123</v>
      </c>
      <c r="B37" s="24" t="s">
        <v>122</v>
      </c>
      <c r="C37" s="23">
        <v>352739</v>
      </c>
    </row>
    <row r="40" spans="1:5" x14ac:dyDescent="0.15">
      <c r="C40" s="22" t="s">
        <v>140</v>
      </c>
      <c r="D40" s="29">
        <f>(C37-C2)/C2</f>
        <v>0.11913841897534171</v>
      </c>
      <c r="E40" s="33">
        <f>C37-C2</f>
        <v>37551</v>
      </c>
    </row>
    <row r="41" spans="1:5" x14ac:dyDescent="0.15">
      <c r="C41" s="22" t="s">
        <v>141</v>
      </c>
      <c r="D41" s="29">
        <f>(C37-C25)/C25</f>
        <v>3.6516490749665016E-2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7B4F-0795-2742-9EDB-06F41F72A888}">
  <dimension ref="A1"/>
  <sheetViews>
    <sheetView showGridLines="0" topLeftCell="A2" zoomScale="40" workbookViewId="0">
      <selection activeCell="V74" sqref="V74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BM011</vt:lpstr>
      <vt:lpstr>Ark1</vt:lpstr>
      <vt:lpstr>BM011 (2)</vt:lpstr>
      <vt:lpstr>Ark4</vt:lpstr>
      <vt:lpstr>Udvikling i antal indbyggere i </vt:lpstr>
      <vt:lpstr>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Mikkel Damgaard Jensen</cp:lastModifiedBy>
  <dcterms:created xsi:type="dcterms:W3CDTF">2021-03-12T09:39:34Z</dcterms:created>
  <dcterms:modified xsi:type="dcterms:W3CDTF">2021-09-04T12:50:43Z</dcterms:modified>
</cp:coreProperties>
</file>